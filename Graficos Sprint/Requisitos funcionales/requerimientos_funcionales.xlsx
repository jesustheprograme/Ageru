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efda84c4c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 1-80" sheetId="1" r:id="R3b90924d0f474402"/>
    <x:sheet xmlns:r="http://schemas.openxmlformats.org/officeDocument/2006/relationships" name="Resumen" sheetId="2" r:id="R785173d1a845449d"/>
    <x:sheet xmlns:r="http://schemas.openxmlformats.org/officeDocument/2006/relationships" name="Campos por tabla" sheetId="3" r:id="R5a45e63750c44d81"/>
    <x:sheet xmlns:r="http://schemas.openxmlformats.org/officeDocument/2006/relationships" name="Faltantes críticos" sheetId="4" r:id="R68b724fbcb33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12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name val="Aptos"/>
    </x:font>
    <x:font>
      <x:sz val="10"/>
      <x:name val="Aptos"/>
    </x:font>
    <x:font>
      <x:b/>
      <x:sz val="14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8CBAD"/>
        </x:patternFill>
      </x:fill>
    </x:dxf>
    <x:dxf>
      <x:fill>
        <x:patternFill patternType="solid">
          <x:bgColor rgb="FFE699"/>
        </x:patternFill>
      </x:fill>
    </x:dxf>
    <x:dxf>
      <x:fill>
        <x:patternFill patternType="solid">
          <x:bgColor rgb="E2F0D9"/>
        </x:patternFill>
      </x:fill>
    </x:dxf>
    <x:dxf>
      <x:font>
        <x:b/>
      </x:font>
      <x:fill>
        <x:patternFill patternType="solid">
          <x:bgColor rgb="F8CBAD"/>
        </x:patternFill>
      </x:fill>
    </x:dxf>
    <x:dxf>
      <x:fill>
        <x:patternFill patternType="solid">
          <x:bgColor rgb="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d33c4226249ab" /><Relationship Type="http://schemas.openxmlformats.org/officeDocument/2006/relationships/theme" Target="/xl/theme/theme1.xml" Id="R472f02535f8e4271" /><Relationship Type="http://schemas.openxmlformats.org/officeDocument/2006/relationships/sharedStrings" Target="/xl/sharedStrings.xml" Id="Rec000f09688d4d52" /><Relationship Type="http://schemas.openxmlformats.org/officeDocument/2006/relationships/worksheet" Target="/xl/worksheets/sheet1.xml" Id="R3b90924d0f474402" /><Relationship Type="http://schemas.openxmlformats.org/officeDocument/2006/relationships/worksheet" Target="/xl/worksheets/sheet2.xml" Id="R785173d1a845449d" /><Relationship Type="http://schemas.openxmlformats.org/officeDocument/2006/relationships/worksheet" Target="/xl/worksheets/sheet3.xml" Id="R5a45e63750c44d81" /><Relationship Type="http://schemas.openxmlformats.org/officeDocument/2006/relationships/worksheet" Target="/xl/worksheets/sheet4.xml" Id="R68b724fbcb3347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6bfe10869b4f4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Cantidad RF</c:v>
          </c:tx>
          <c:cat>
            <c:strRef>
              <c:f>'Resumen'!$D$4:$D$11</c:f>
              <c:strCache>
                <c:ptCount val="0"/>
              </c:strCache>
            </c:strRef>
          </c:cat>
          <c:val>
            <c:numRef>
              <c:f>'Resumen'!$E$4:$E$11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6bfe10869b4f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RF" displayName="TablaRF" ref="A1:J81" headerRowCount="1">
  <x:tableColumns count="10">
    <x:tableColumn id="1" name="N°"/>
    <x:tableColumn id="2" name="Código"/>
    <x:tableColumn id="3" name="Módulo"/>
    <x:tableColumn id="4" name="Nombre del RF"/>
    <x:tableColumn id="5" name="Descripción"/>
    <x:tableColumn id="6" name="Tablas utilizadas"/>
    <x:tableColumn id="7" name="Columnas utilizadas"/>
    <x:tableColumn id="8" name="Reglas / validaciones"/>
    <x:tableColumn id="9" name="Prioridad"/>
    <x:tableColumn id="10" name="Observación crítica"/>
  </x:tableColumns>
  <x:tableStyleInfo name="TableStyleMedium2" showRowStripes="1"/>
</x:table>
</file>

<file path=xl/tables/table2.xml><?xml version="1.0" encoding="utf-8"?>
<x:table xmlns:x="http://schemas.openxmlformats.org/spreadsheetml/2006/main" id="2" name="TablaResumenModulos" displayName="TablaResumenModulos" ref="D3:H11" headerRowCount="1">
  <x:tableColumns count="5">
    <x:tableColumn id="1" name="Módulo"/>
    <x:tableColumn id="2" name="Cantidad RF"/>
    <x:tableColumn id="3" name="Prioridad Alta"/>
    <x:tableColumn id="4" name="Prioridad Media"/>
    <x:tableColumn id="5" name="Prioridad Baja"/>
  </x:tableColumns>
  <x:tableStyleInfo name="TableStyleMedium2" showRowStripes="1"/>
</x:table>
</file>

<file path=xl/tables/table3.xml><?xml version="1.0" encoding="utf-8"?>
<x:table xmlns:x="http://schemas.openxmlformats.org/spreadsheetml/2006/main" id="3" name="TablaCamposPorTabla" displayName="TablaCamposPorTabla" ref="A1:D9" headerRowCount="1">
  <x:tableColumns count="4">
    <x:tableColumn id="1" name="Tabla"/>
    <x:tableColumn id="2" name="Columnas usadas en RF"/>
    <x:tableColumn id="3" name="RF relacionados"/>
    <x:tableColumn id="4" name="Comentario"/>
  </x:tableColumns>
  <x:tableStyleInfo name="TableStyleMedium2" showRowStripes="1"/>
</x:table>
</file>

<file path=xl/tables/table4.xml><?xml version="1.0" encoding="utf-8"?>
<x:table xmlns:x="http://schemas.openxmlformats.org/spreadsheetml/2006/main" id="4" name="TablaFaltantes" displayName="TablaFaltantes" ref="A1:F9" headerRowCount="1">
  <x:tableColumns count="6">
    <x:tableColumn id="1" name="N°"/>
    <x:tableColumn id="2" name="Faltante crítico"/>
    <x:tableColumn id="3" name="Por qué importa"/>
    <x:tableColumn id="4" name="Tabla sugerida"/>
    <x:tableColumn id="5" name="Impacto si no existe"/>
    <x:tableColumn id="6" name="Prior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3bef9a8b70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2bbe8a2f37a4a0c" /><Relationship Type="http://schemas.openxmlformats.org/officeDocument/2006/relationships/table" Target="/xl/tables/table2.xml" Id="Rf4db0fbed58643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f5fa2c5f814c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ad642f03a540df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16" hidden="0" customWidth="1"/>
    <x:col min="4" max="4" width="28" hidden="0" customWidth="1"/>
    <x:col min="5" max="5" width="42" hidden="0" customWidth="1"/>
    <x:col min="6" max="6" width="28" hidden="0" customWidth="1"/>
    <x:col min="7" max="7" width="45" hidden="0" customWidth="1"/>
    <x:col min="8" max="8" width="45" hidden="0" customWidth="1"/>
    <x:col min="9" max="9" width="12" hidden="0" customWidth="1"/>
    <x:col min="10" max="10" width="42" hidden="0" customWidth="1"/>
  </x:cols>
  <x:sheetData>
    <x:row r="1" ht="32" customHeight="1">
      <x:c r="A1" s="52" t="str">
        <x:v>N°</x:v>
      </x:c>
      <x:c r="B1" s="52" t="str">
        <x:v>Código</x:v>
      </x:c>
      <x:c r="C1" s="52" t="str">
        <x:v>Módulo</x:v>
      </x:c>
      <x:c r="D1" s="52" t="str">
        <x:v>Nombre del RF</x:v>
      </x:c>
      <x:c r="E1" s="52" t="str">
        <x:v>Descripción</x:v>
      </x:c>
      <x:c r="F1" s="52" t="str">
        <x:v>Tablas utilizadas</x:v>
      </x:c>
      <x:c r="G1" s="52" t="str">
        <x:v>Columnas utilizadas</x:v>
      </x:c>
      <x:c r="H1" s="52" t="str">
        <x:v>Reglas / validaciones</x:v>
      </x:c>
      <x:c r="I1" s="52" t="str">
        <x:v>Prioridad</x:v>
      </x:c>
      <x:c r="J1" s="52" t="str">
        <x:v>Observación crítica</x:v>
      </x:c>
    </x:row>
    <x:row r="2" ht="60" customHeight="1">
      <x:c r="A2" s="45" t="n">
        <x:v>1</x:v>
      </x:c>
      <x:c r="B2" s="45" t="str">
        <x:v>RF01</x:v>
      </x:c>
      <x:c r="C2" s="45" t="str">
        <x:v>Usuarios</x:v>
      </x:c>
      <x:c r="D2" s="45" t="str">
        <x:v>Registrar usuario</x:v>
      </x:c>
      <x:c r="E2" s="45" t="str">
        <x:v>Permitir registrar un nuevo usuario en el sistema.</x:v>
      </x:c>
      <x:c r="F2" s="45" t="str">
        <x:v>usuarios</x:v>
      </x:c>
      <x:c r="G2" s="45" t="str">
        <x:v>dni, telefono, nombres, apellidos, email, fecha_nacimiento, estado, created_at, updated_at</x:v>
      </x:c>
      <x:c r="H2" s="45" t="str">
        <x:v>DNI, teléfono y email deben ser únicos; estado inicial recomendado: PENDIENTE_VERIFICACION o ACTIVO.</x:v>
      </x:c>
      <x:c r="I2" s="45" t="str">
        <x:v>Alta</x:v>
      </x:c>
      <x:c r="J2" s="45" t="str">
        <x:v>Falta tabla de autenticación; no guardar contraseñas en usuarios.</x:v>
      </x:c>
    </x:row>
    <x:row r="3" ht="60" customHeight="1">
      <x:c r="A3" s="45" t="n">
        <x:v>2</x:v>
      </x:c>
      <x:c r="B3" s="45" t="str">
        <x:v>RF02</x:v>
      </x:c>
      <x:c r="C3" s="45" t="str">
        <x:v>Usuarios</x:v>
      </x:c>
      <x:c r="D3" s="45" t="str">
        <x:v>Validar DNI único</x:v>
      </x:c>
      <x:c r="E3" s="45" t="str">
        <x:v>Verificar que no exista otro usuario con el mismo DNI antes del registro.</x:v>
      </x:c>
      <x:c r="F3" s="45" t="str">
        <x:v>usuarios</x:v>
      </x:c>
      <x:c r="G3" s="45" t="str">
        <x:v>id, dni, estado</x:v>
      </x:c>
      <x:c r="H3" s="45" t="str">
        <x:v>No permitir duplicados; validar longitud/formato según reglas del país.</x:v>
      </x:c>
      <x:c r="I3" s="45" t="str">
        <x:v>Alta</x:v>
      </x:c>
      <x:c r="J3" s="45" t="str">
        <x:v>Agregar índice único sobre dni.</x:v>
      </x:c>
    </x:row>
    <x:row r="4" ht="60" customHeight="1">
      <x:c r="A4" s="45" t="n">
        <x:v>3</x:v>
      </x:c>
      <x:c r="B4" s="45" t="str">
        <x:v>RF03</x:v>
      </x:c>
      <x:c r="C4" s="45" t="str">
        <x:v>Usuarios</x:v>
      </x:c>
      <x:c r="D4" s="45" t="str">
        <x:v>Validar teléfono único</x:v>
      </x:c>
      <x:c r="E4" s="45" t="str">
        <x:v>Verificar que el teléfono no esté registrado previamente.</x:v>
      </x:c>
      <x:c r="F4" s="45" t="str">
        <x:v>usuarios</x:v>
      </x:c>
      <x:c r="G4" s="45" t="str">
        <x:v>id, telefono, estado</x:v>
      </x:c>
      <x:c r="H4" s="45" t="str">
        <x:v>Teléfono debe ser único porque sirve para identificar destinatarios.</x:v>
      </x:c>
      <x:c r="I4" s="45" t="str">
        <x:v>Alta</x:v>
      </x:c>
      <x:c r="J4" s="45" t="str">
        <x:v>Agregar índice único sobre telefono.</x:v>
      </x:c>
    </x:row>
    <x:row r="5" ht="60" customHeight="1">
      <x:c r="A5" s="45" t="n">
        <x:v>4</x:v>
      </x:c>
      <x:c r="B5" s="45" t="str">
        <x:v>RF04</x:v>
      </x:c>
      <x:c r="C5" s="45" t="str">
        <x:v>Usuarios</x:v>
      </x:c>
      <x:c r="D5" s="45" t="str">
        <x:v>Validar email único</x:v>
      </x:c>
      <x:c r="E5" s="45" t="str">
        <x:v>Verificar que el correo no esté registrado previamente.</x:v>
      </x:c>
      <x:c r="F5" s="45" t="str">
        <x:v>usuarios</x:v>
      </x:c>
      <x:c r="G5" s="45" t="str">
        <x:v>id, email, estado</x:v>
      </x:c>
      <x:c r="H5" s="45" t="str">
        <x:v>Email debe tener formato válido y no repetirse.</x:v>
      </x:c>
      <x:c r="I5" s="45" t="str">
        <x:v>Media</x:v>
      </x:c>
      <x:c r="J5" s="45" t="str">
        <x:v>Puede ser opcional en un MVP, pero recomendable.</x:v>
      </x:c>
    </x:row>
    <x:row r="6" ht="60" customHeight="1">
      <x:c r="A6" s="45" t="n">
        <x:v>5</x:v>
      </x:c>
      <x:c r="B6" s="45" t="str">
        <x:v>RF05</x:v>
      </x:c>
      <x:c r="C6" s="45" t="str">
        <x:v>Usuarios</x:v>
      </x:c>
      <x:c r="D6" s="45" t="str">
        <x:v>Consultar perfil de usuario</x:v>
      </x:c>
      <x:c r="E6" s="45" t="str">
        <x:v>Mostrar los datos personales registrados del usuario autenticado.</x:v>
      </x:c>
      <x:c r="F6" s="45" t="str">
        <x:v>usuarios</x:v>
      </x:c>
      <x:c r="G6" s="45" t="str">
        <x:v>id, dni, telefono, nombres, apellidos, email, fecha_nacimiento, estado, created_at</x:v>
      </x:c>
      <x:c r="H6" s="45" t="str">
        <x:v>No mostrar información sensible completa si no es necesario.</x:v>
      </x:c>
      <x:c r="I6" s="45" t="str">
        <x:v>Alta</x:v>
      </x:c>
      <x:c r="J6" s="45" t="str">
        <x:v>Enmascarar DNI y teléfono en algunas vistas.</x:v>
      </x:c>
    </x:row>
    <x:row r="7" ht="60" customHeight="1">
      <x:c r="A7" s="45" t="n">
        <x:v>6</x:v>
      </x:c>
      <x:c r="B7" s="45" t="str">
        <x:v>RF06</x:v>
      </x:c>
      <x:c r="C7" s="45" t="str">
        <x:v>Usuarios</x:v>
      </x:c>
      <x:c r="D7" s="45" t="str">
        <x:v>Actualizar perfil de usuario</x:v>
      </x:c>
      <x:c r="E7" s="45" t="str">
        <x:v>Permitir actualizar datos permitidos del perfil.</x:v>
      </x:c>
      <x:c r="F7" s="45" t="str">
        <x:v>usuarios</x:v>
      </x:c>
      <x:c r="G7" s="45" t="str">
        <x:v>telefono, email, nombres, apellidos, updated_at</x:v>
      </x:c>
      <x:c r="H7" s="45" t="str">
        <x:v>No permitir cambiar DNI sin proceso administrativo.</x:v>
      </x:c>
      <x:c r="I7" s="45" t="str">
        <x:v>Media</x:v>
      </x:c>
      <x:c r="J7" s="45" t="str">
        <x:v>Cambios sensibles deberían auditarse.</x:v>
      </x:c>
    </x:row>
    <x:row r="8" ht="60" customHeight="1">
      <x:c r="A8" s="45" t="n">
        <x:v>7</x:v>
      </x:c>
      <x:c r="B8" s="45" t="str">
        <x:v>RF07</x:v>
      </x:c>
      <x:c r="C8" s="45" t="str">
        <x:v>Usuarios</x:v>
      </x:c>
      <x:c r="D8" s="45" t="str">
        <x:v>Cambiar estado de usuario</x:v>
      </x:c>
      <x:c r="E8" s="45" t="str">
        <x:v>Permitir activar, bloquear, suspender o eliminar lógicamente a un usuario.</x:v>
      </x:c>
      <x:c r="F8" s="45" t="str">
        <x:v>usuarios</x:v>
      </x:c>
      <x:c r="G8" s="45" t="str">
        <x:v>id, estado, updated_at</x:v>
      </x:c>
      <x:c r="H8" s="45" t="str">
        <x:v>Solo administrador o proceso interno debe cambiar estados críticos.</x:v>
      </x:c>
      <x:c r="I8" s="45" t="str">
        <x:v>Alta</x:v>
      </x:c>
      <x:c r="J8" s="45" t="str">
        <x:v>Definir catálogo formal de estados.</x:v>
      </x:c>
    </x:row>
    <x:row r="9" ht="60" customHeight="1">
      <x:c r="A9" s="45" t="n">
        <x:v>8</x:v>
      </x:c>
      <x:c r="B9" s="45" t="str">
        <x:v>RF08</x:v>
      </x:c>
      <x:c r="C9" s="45" t="str">
        <x:v>Usuarios</x:v>
      </x:c>
      <x:c r="D9" s="45" t="str">
        <x:v>Buscar usuario por teléfono</x:v>
      </x:c>
      <x:c r="E9" s="45" t="str">
        <x:v>Buscar un usuario destino para transferencias o contactos usando teléfono.</x:v>
      </x:c>
      <x:c r="F9" s="45" t="str">
        <x:v>usuarios</x:v>
      </x:c>
      <x:c r="G9" s="45" t="str">
        <x:v>id, telefono, nombres, apellidos, estado</x:v>
      </x:c>
      <x:c r="H9" s="45" t="str">
        <x:v>Solo mostrar usuarios activos; no exponer datos innecesarios.</x:v>
      </x:c>
      <x:c r="I9" s="45" t="str">
        <x:v>Alta</x:v>
      </x:c>
      <x:c r="J9" s="45" t="str">
        <x:v>Útil para flujos tipo Yape.</x:v>
      </x:c>
    </x:row>
    <x:row r="10" ht="60" customHeight="1">
      <x:c r="A10" s="45" t="n">
        <x:v>9</x:v>
      </x:c>
      <x:c r="B10" s="45" t="str">
        <x:v>RF09</x:v>
      </x:c>
      <x:c r="C10" s="45" t="str">
        <x:v>Usuarios</x:v>
      </x:c>
      <x:c r="D10" s="45" t="str">
        <x:v>Listar usuarios activos</x:v>
      </x:c>
      <x:c r="E10" s="45" t="str">
        <x:v>Permitir al administrador consultar usuarios activos.</x:v>
      </x:c>
      <x:c r="F10" s="45" t="str">
        <x:v>usuarios</x:v>
      </x:c>
      <x:c r="G10" s="45" t="str">
        <x:v>id, dni, telefono, nombres, apellidos, email, estado, created_at</x:v>
      </x:c>
      <x:c r="H10" s="45" t="str">
        <x:v>Filtrar por estado ACTIVO.</x:v>
      </x:c>
      <x:c r="I10" s="45" t="str">
        <x:v>Media</x:v>
      </x:c>
      <x:c r="J10" s="45" t="str">
        <x:v>Debe tener paginación.</x:v>
      </x:c>
    </x:row>
    <x:row r="11" ht="60" customHeight="1">
      <x:c r="A11" s="45" t="n">
        <x:v>10</x:v>
      </x:c>
      <x:c r="B11" s="45" t="str">
        <x:v>RF10</x:v>
      </x:c>
      <x:c r="C11" s="45" t="str">
        <x:v>Usuarios</x:v>
      </x:c>
      <x:c r="D11" s="45" t="str">
        <x:v>Consultar fecha de registro</x:v>
      </x:c>
      <x:c r="E11" s="45" t="str">
        <x:v>Mostrar desde cuándo el usuario existe en el sistema.</x:v>
      </x:c>
      <x:c r="F11" s="45" t="str">
        <x:v>usuarios</x:v>
      </x:c>
      <x:c r="G11" s="45" t="str">
        <x:v>id, created_at</x:v>
      </x:c>
      <x:c r="H11" s="45" t="str">
        <x:v>created_at no debe modificarse.</x:v>
      </x:c>
      <x:c r="I11" s="45" t="str">
        <x:v>Baja</x:v>
      </x:c>
      <x:c r="J11" s="45" t="str">
        <x:v>Sirve para reportes y soporte.</x:v>
      </x:c>
    </x:row>
    <x:row r="12" ht="60" customHeight="1">
      <x:c r="A12" s="45" t="n">
        <x:v>11</x:v>
      </x:c>
      <x:c r="B12" s="45" t="str">
        <x:v>RF11</x:v>
      </x:c>
      <x:c r="C12" s="45" t="str">
        <x:v>Cuentas</x:v>
      </x:c>
      <x:c r="D12" s="45" t="str">
        <x:v>Crear cuenta de usuario</x:v>
      </x:c>
      <x:c r="E12" s="45" t="str">
        <x:v>Crear una cuenta asociada a un usuario y un banco.</x:v>
      </x:c>
      <x:c r="F12" s="45" t="str">
        <x:v>cuentas, usuarios, bancos</x:v>
      </x:c>
      <x:c r="G12" s="45" t="str">
        <x:v>cuentas.usuario_id, cuentas.banco_id, cuentas.numero_cuenta_enmascarado, cuentas.saldo_centavos, cuentas.limite_diario_centavos, cuentas.estado, cuentas.created_at</x:v>
      </x:c>
      <x:c r="H12" s="45" t="str">
        <x:v>Usuario y banco deben existir y estar activos.</x:v>
      </x:c>
      <x:c r="I12" s="45" t="str">
        <x:v>Alta</x:v>
      </x:c>
      <x:c r="J12" s="45" t="str">
        <x:v>Saldo inicial debe controlarse; no inventar saldo sin operación registrada.</x:v>
      </x:c>
    </x:row>
    <x:row r="13" ht="60" customHeight="1">
      <x:c r="A13" s="45" t="n">
        <x:v>12</x:v>
      </x:c>
      <x:c r="B13" s="45" t="str">
        <x:v>RF12</x:v>
      </x:c>
      <x:c r="C13" s="45" t="str">
        <x:v>Cuentas</x:v>
      </x:c>
      <x:c r="D13" s="45" t="str">
        <x:v>Consultar cuentas del usuario</x:v>
      </x:c>
      <x:c r="E13" s="45" t="str">
        <x:v>Mostrar las cuentas asociadas a un usuario.</x:v>
      </x:c>
      <x:c r="F13" s="45" t="str">
        <x:v>cuentas</x:v>
      </x:c>
      <x:c r="G13" s="45" t="str">
        <x:v>id, usuario_id, banco_id, numero_cuenta_enmascarado, saldo_centavos, limite_diario_centavos, estado</x:v>
      </x:c>
      <x:c r="H13" s="45" t="str">
        <x:v>Solo listar cuentas del usuario autenticado.</x:v>
      </x:c>
      <x:c r="I13" s="45" t="str">
        <x:v>Alta</x:v>
      </x:c>
      <x:c r="J13" s="45" t="str">
        <x:v>No mostrar número completo; usar cuenta enmascarada.</x:v>
      </x:c>
    </x:row>
    <x:row r="14" ht="60" customHeight="1">
      <x:c r="A14" s="45" t="n">
        <x:v>13</x:v>
      </x:c>
      <x:c r="B14" s="45" t="str">
        <x:v>RF13</x:v>
      </x:c>
      <x:c r="C14" s="45" t="str">
        <x:v>Cuentas</x:v>
      </x:c>
      <x:c r="D14" s="45" t="str">
        <x:v>Consultar saldo</x:v>
      </x:c>
      <x:c r="E14" s="45" t="str">
        <x:v>Permitir consultar saldo disponible de una cuenta.</x:v>
      </x:c>
      <x:c r="F14" s="45" t="str">
        <x:v>cuentas</x:v>
      </x:c>
      <x:c r="G14" s="45" t="str">
        <x:v>id, usuario_id, saldo_centavos, estado</x:v>
      </x:c>
      <x:c r="H14" s="45" t="str">
        <x:v>La cuenta debe pertenecer al usuario y estar activa.</x:v>
      </x:c>
      <x:c r="I14" s="45" t="str">
        <x:v>Alta</x:v>
      </x:c>
      <x:c r="J14" s="45" t="str">
        <x:v>Correcto usar centavos para evitar errores decimales.</x:v>
      </x:c>
    </x:row>
    <x:row r="15" ht="60" customHeight="1">
      <x:c r="A15" s="45" t="n">
        <x:v>14</x:v>
      </x:c>
      <x:c r="B15" s="45" t="str">
        <x:v>RF14</x:v>
      </x:c>
      <x:c r="C15" s="45" t="str">
        <x:v>Cuentas</x:v>
      </x:c>
      <x:c r="D15" s="45" t="str">
        <x:v>Validar cuenta activa</x:v>
      </x:c>
      <x:c r="E15" s="45" t="str">
        <x:v>Verificar que una cuenta pueda operar antes de transferir o pagar.</x:v>
      </x:c>
      <x:c r="F15" s="45" t="str">
        <x:v>cuentas</x:v>
      </x:c>
      <x:c r="G15" s="45" t="str">
        <x:v>id, estado</x:v>
      </x:c>
      <x:c r="H15" s="45" t="str">
        <x:v>Solo cuentas ACTIVAS operan.</x:v>
      </x:c>
      <x:c r="I15" s="45" t="str">
        <x:v>Alta</x:v>
      </x:c>
      <x:c r="J15" s="45" t="str">
        <x:v>Definir estados: ACTIVA, BLOQUEADA, INACTIVA, CERRADA.</x:v>
      </x:c>
    </x:row>
    <x:row r="16" ht="60" customHeight="1">
      <x:c r="A16" s="45" t="n">
        <x:v>15</x:v>
      </x:c>
      <x:c r="B16" s="45" t="str">
        <x:v>RF15</x:v>
      </x:c>
      <x:c r="C16" s="45" t="str">
        <x:v>Cuentas</x:v>
      </x:c>
      <x:c r="D16" s="45" t="str">
        <x:v>Validar saldo suficiente</x:v>
      </x:c>
      <x:c r="E16" s="45" t="str">
        <x:v>Comprobar que la cuenta origen tenga saldo suficiente.</x:v>
      </x:c>
      <x:c r="F16" s="45" t="str">
        <x:v>cuentas</x:v>
      </x:c>
      <x:c r="G16" s="45" t="str">
        <x:v>id, saldo_centavos, estado</x:v>
      </x:c>
      <x:c r="H16" s="45" t="str">
        <x:v>monto_centavos &gt; 0 y saldo_centavos &gt;= monto_centavos.</x:v>
      </x:c>
      <x:c r="I16" s="45" t="str">
        <x:v>Alta</x:v>
      </x:c>
      <x:c r="J16" s="45" t="str">
        <x:v>Debe ejecutarse dentro de transacción SQL para evitar concurrencia.</x:v>
      </x:c>
    </x:row>
    <x:row r="17" ht="60" customHeight="1">
      <x:c r="A17" s="45" t="n">
        <x:v>16</x:v>
      </x:c>
      <x:c r="B17" s="45" t="str">
        <x:v>RF16</x:v>
      </x:c>
      <x:c r="C17" s="45" t="str">
        <x:v>Cuentas</x:v>
      </x:c>
      <x:c r="D17" s="45" t="str">
        <x:v>Validar límite diario</x:v>
      </x:c>
      <x:c r="E17" s="45" t="str">
        <x:v>Verificar que la operación no supere el límite diario de la cuenta.</x:v>
      </x:c>
      <x:c r="F17" s="45" t="str">
        <x:v>cuentas, transacciones</x:v>
      </x:c>
      <x:c r="G17" s="45" t="str">
        <x:v>cuentas.limite_diario_centavos, transacciones.cuenta_origen_id, transacciones.monto_centavos, transacciones.estado, transacciones.created_at</x:v>
      </x:c>
      <x:c r="H17" s="45" t="str">
        <x:v>Sumar transacciones completadas del día más operación actual.</x:v>
      </x:c>
      <x:c r="I17" s="45" t="str">
        <x:v>Alta</x:v>
      </x:c>
      <x:c r="J17" s="45" t="str">
        <x:v>Para alto volumen conviene tabla de uso diario.</x:v>
      </x:c>
    </x:row>
    <x:row r="18" ht="60" customHeight="1">
      <x:c r="A18" s="45" t="n">
        <x:v>17</x:v>
      </x:c>
      <x:c r="B18" s="45" t="str">
        <x:v>RF17</x:v>
      </x:c>
      <x:c r="C18" s="45" t="str">
        <x:v>Cuentas</x:v>
      </x:c>
      <x:c r="D18" s="45" t="str">
        <x:v>Actualizar saldo</x:v>
      </x:c>
      <x:c r="E18" s="45" t="str">
        <x:v>Actualizar saldo de cuentas luego de una operación exitosa.</x:v>
      </x:c>
      <x:c r="F18" s="45" t="str">
        <x:v>cuentas</x:v>
      </x:c>
      <x:c r="G18" s="45" t="str">
        <x:v>id, saldo_centavos, updated_at</x:v>
      </x:c>
      <x:c r="H18" s="45" t="str">
        <x:v>Debe descontar origen y abonar destino en la misma transacción SQL.</x:v>
      </x:c>
      <x:c r="I18" s="45" t="str">
        <x:v>Alta</x:v>
      </x:c>
      <x:c r="J18" s="45" t="str">
        <x:v>Crítico: usar BEGIN TRANSACTION / COMMIT / ROLLBACK.</x:v>
      </x:c>
    </x:row>
    <x:row r="19" ht="60" customHeight="1">
      <x:c r="A19" s="45" t="n">
        <x:v>18</x:v>
      </x:c>
      <x:c r="B19" s="45" t="str">
        <x:v>RF18</x:v>
      </x:c>
      <x:c r="C19" s="45" t="str">
        <x:v>Cuentas</x:v>
      </x:c>
      <x:c r="D19" s="45" t="str">
        <x:v>Bloquear cuenta</x:v>
      </x:c>
      <x:c r="E19" s="45" t="str">
        <x:v>Permitir bloquear una cuenta por seguridad, fraude o solicitud del usuario.</x:v>
      </x:c>
      <x:c r="F19" s="45" t="str">
        <x:v>cuentas</x:v>
      </x:c>
      <x:c r="G19" s="45" t="str">
        <x:v>id, estado, updated_at</x:v>
      </x:c>
      <x:c r="H19" s="45" t="str">
        <x:v>Cuenta bloqueada no puede enviar ni recibir según regla de negocio.</x:v>
      </x:c>
      <x:c r="I19" s="45" t="str">
        <x:v>Alta</x:v>
      </x:c>
      <x:c r="J19" s="45" t="str">
        <x:v>Bloquear cuenta no necesariamente bloquea usuario.</x:v>
      </x:c>
    </x:row>
    <x:row r="20" ht="60" customHeight="1">
      <x:c r="A20" s="45" t="n">
        <x:v>19</x:v>
      </x:c>
      <x:c r="B20" s="45" t="str">
        <x:v>RF19</x:v>
      </x:c>
      <x:c r="C20" s="45" t="str">
        <x:v>Cuentas</x:v>
      </x:c>
      <x:c r="D20" s="45" t="str">
        <x:v>Consultar banco de cuenta</x:v>
      </x:c>
      <x:c r="E20" s="45" t="str">
        <x:v>Mostrar el banco asociado a una cuenta.</x:v>
      </x:c>
      <x:c r="F20" s="45" t="str">
        <x:v>cuentas, bancos</x:v>
      </x:c>
      <x:c r="G20" s="45" t="str">
        <x:v>cuentas.banco_id, bancos.id, bancos.nombre, bancos.codigo_swift, bancos.estado</x:v>
      </x:c>
      <x:c r="H20" s="45" t="str">
        <x:v>Banco debe existir.</x:v>
      </x:c>
      <x:c r="I20" s="45" t="str">
        <x:v>Media</x:v>
      </x:c>
      <x:c r="J20" s="45" t="str">
        <x:v>En Perú conviene agregar codigo_sbs/codigo_banco.</x:v>
      </x:c>
    </x:row>
    <x:row r="21" ht="60" customHeight="1">
      <x:c r="A21" s="45" t="n">
        <x:v>20</x:v>
      </x:c>
      <x:c r="B21" s="45" t="str">
        <x:v>RF20</x:v>
      </x:c>
      <x:c r="C21" s="45" t="str">
        <x:v>Cuentas</x:v>
      </x:c>
      <x:c r="D21" s="45" t="str">
        <x:v>Listar cuentas por banco</x:v>
      </x:c>
      <x:c r="E21" s="45" t="str">
        <x:v>Permitir consultar cuentas agrupadas o filtradas por banco.</x:v>
      </x:c>
      <x:c r="F21" s="45" t="str">
        <x:v>cuentas, bancos</x:v>
      </x:c>
      <x:c r="G21" s="45" t="str">
        <x:v>cuentas.id, cuentas.banco_id, cuentas.usuario_id, cuentas.estado, bancos.nombre</x:v>
      </x:c>
      <x:c r="H21" s="45" t="str">
        <x:v>Uso administrativo y reportes.</x:v>
      </x:c>
      <x:c r="I21" s="45" t="str">
        <x:v>Baja</x:v>
      </x:c>
      <x:c r="J21" s="45" t="str">
        <x:v>Debe paginarse si hay muchos registros.</x:v>
      </x:c>
    </x:row>
    <x:row r="22" ht="60" customHeight="1">
      <x:c r="A22" s="45" t="n">
        <x:v>21</x:v>
      </x:c>
      <x:c r="B22" s="45" t="str">
        <x:v>RF21</x:v>
      </x:c>
      <x:c r="C22" s="45" t="str">
        <x:v>Transacciones</x:v>
      </x:c>
      <x:c r="D22" s="45" t="str">
        <x:v>Registrar transferencia</x:v>
      </x:c>
      <x:c r="E22" s="45" t="str">
        <x:v>Crear una transacción entre cuenta origen y destino.</x:v>
      </x:c>
      <x:c r="F22" s="45" t="str">
        <x:v>transacciones</x:v>
      </x:c>
      <x:c r="G22" s="45" t="str">
        <x:v>cuenta_origen_id, cuenta_destino_id, monto_centavos, tipo, estado, descripcion, referencia_externa, created_at</x:v>
      </x:c>
      <x:c r="H22" s="45" t="str">
        <x:v>Origen y destino válidos; monto positivo; saldo suficiente.</x:v>
      </x:c>
      <x:c r="I22" s="45" t="str">
        <x:v>Alta</x:v>
      </x:c>
      <x:c r="J22" s="45" t="str">
        <x:v>El registro debe quedar aunque sea rechazada, para trazabilidad.</x:v>
      </x:c>
    </x:row>
    <x:row r="23" ht="60" customHeight="1">
      <x:c r="A23" s="45" t="n">
        <x:v>22</x:v>
      </x:c>
      <x:c r="B23" s="45" t="str">
        <x:v>RF22</x:v>
      </x:c>
      <x:c r="C23" s="45" t="str">
        <x:v>Transacciones</x:v>
      </x:c>
      <x:c r="D23" s="45" t="str">
        <x:v>Consultar transacción por ID</x:v>
      </x:c>
      <x:c r="E23" s="45" t="str">
        <x:v>Mostrar el detalle de una transacción específica.</x:v>
      </x:c>
      <x:c r="F23" s="45" t="str">
        <x:v>transacciones</x:v>
      </x:c>
      <x:c r="G23" s="45" t="str">
        <x:v>id, cuenta_origen_id, cuenta_destino_id, monto_centavos, tipo, estado, descripcion, referencia_externa, created_at</x:v>
      </x:c>
      <x:c r="H23" s="45" t="str">
        <x:v>Usuario solo puede ver transacciones de sus cuentas.</x:v>
      </x:c>
      <x:c r="I23" s="45" t="str">
        <x:v>Alta</x:v>
      </x:c>
      <x:c r="J23" s="45" t="str">
        <x:v>Agregar código visible de operación sería mejor que mostrar id interno.</x:v>
      </x:c>
    </x:row>
    <x:row r="24" ht="60" customHeight="1">
      <x:c r="A24" s="45" t="n">
        <x:v>23</x:v>
      </x:c>
      <x:c r="B24" s="45" t="str">
        <x:v>RF23</x:v>
      </x:c>
      <x:c r="C24" s="45" t="str">
        <x:v>Transacciones</x:v>
      </x:c>
      <x:c r="D24" s="45" t="str">
        <x:v>Consultar historial enviado</x:v>
      </x:c>
      <x:c r="E24" s="45" t="str">
        <x:v>Listar transacciones donde la cuenta del usuario fue origen.</x:v>
      </x:c>
      <x:c r="F24" s="45" t="str">
        <x:v>transacciones, cuentas</x:v>
      </x:c>
      <x:c r="G24" s="45" t="str">
        <x:v>transacciones.cuenta_origen_id, cuentas.id, cuentas.usuario_id, transacciones.monto_centavos, transacciones.estado, transacciones.created_at</x:v>
      </x:c>
      <x:c r="H24" s="45" t="str">
        <x:v>Filtrar por usuario autenticado.</x:v>
      </x:c>
      <x:c r="I24" s="45" t="str">
        <x:v>Alta</x:v>
      </x:c>
      <x:c r="J24" s="45" t="str">
        <x:v>Debe tener paginación y filtros.</x:v>
      </x:c>
    </x:row>
    <x:row r="25" ht="60" customHeight="1">
      <x:c r="A25" s="45" t="n">
        <x:v>24</x:v>
      </x:c>
      <x:c r="B25" s="45" t="str">
        <x:v>RF24</x:v>
      </x:c>
      <x:c r="C25" s="45" t="str">
        <x:v>Transacciones</x:v>
      </x:c>
      <x:c r="D25" s="45" t="str">
        <x:v>Consultar historial recibido</x:v>
      </x:c>
      <x:c r="E25" s="45" t="str">
        <x:v>Listar transacciones donde la cuenta del usuario fue destino.</x:v>
      </x:c>
      <x:c r="F25" s="45" t="str">
        <x:v>transacciones, cuentas</x:v>
      </x:c>
      <x:c r="G25" s="45" t="str">
        <x:v>transacciones.cuenta_destino_id, cuentas.id, cuentas.usuario_id, transacciones.monto_centavos, transacciones.estado, transacciones.created_at</x:v>
      </x:c>
      <x:c r="H25" s="45" t="str">
        <x:v>Filtrar por usuario autenticado.</x:v>
      </x:c>
      <x:c r="I25" s="45" t="str">
        <x:v>Alta</x:v>
      </x:c>
      <x:c r="J25" s="45" t="str">
        <x:v>Debe permitir diferenciar ingresos y egresos.</x:v>
      </x:c>
    </x:row>
    <x:row r="26" ht="60" customHeight="1">
      <x:c r="A26" s="45" t="n">
        <x:v>25</x:v>
      </x:c>
      <x:c r="B26" s="45" t="str">
        <x:v>RF25</x:v>
      </x:c>
      <x:c r="C26" s="45" t="str">
        <x:v>Transacciones</x:v>
      </x:c>
      <x:c r="D26" s="45" t="str">
        <x:v>Filtrar por fecha</x:v>
      </x:c>
      <x:c r="E26" s="45" t="str">
        <x:v>Permitir buscar transacciones en un rango de fechas.</x:v>
      </x:c>
      <x:c r="F26" s="45" t="str">
        <x:v>transacciones</x:v>
      </x:c>
      <x:c r="G26" s="45" t="str">
        <x:v>id, created_at, monto_centavos, estado, tipo</x:v>
      </x:c>
      <x:c r="H26" s="45" t="str">
        <x:v>Rango válido; fecha inicio &lt;= fecha fin.</x:v>
      </x:c>
      <x:c r="I26" s="45" t="str">
        <x:v>Media</x:v>
      </x:c>
      <x:c r="J26" s="45" t="str">
        <x:v>Agregar índice por created_at.</x:v>
      </x:c>
    </x:row>
    <x:row r="27" ht="60" customHeight="1">
      <x:c r="A27" s="45" t="n">
        <x:v>26</x:v>
      </x:c>
      <x:c r="B27" s="45" t="str">
        <x:v>RF26</x:v>
      </x:c>
      <x:c r="C27" s="45" t="str">
        <x:v>Transacciones</x:v>
      </x:c>
      <x:c r="D27" s="45" t="str">
        <x:v>Filtrar por estado</x:v>
      </x:c>
      <x:c r="E27" s="45" t="str">
        <x:v>Permitir buscar transacciones por estado.</x:v>
      </x:c>
      <x:c r="F27" s="45" t="str">
        <x:v>transacciones</x:v>
      </x:c>
      <x:c r="G27" s="45" t="str">
        <x:v>id, estado, created_at, monto_centavos</x:v>
      </x:c>
      <x:c r="H27" s="45" t="str">
        <x:v>Estados controlados por catálogo.</x:v>
      </x:c>
      <x:c r="I27" s="45" t="str">
        <x:v>Media</x:v>
      </x:c>
      <x:c r="J27" s="45" t="str">
        <x:v>Evita valores libres de texto.</x:v>
      </x:c>
    </x:row>
    <x:row r="28" ht="60" customHeight="1">
      <x:c r="A28" s="45" t="n">
        <x:v>27</x:v>
      </x:c>
      <x:c r="B28" s="45" t="str">
        <x:v>RF27</x:v>
      </x:c>
      <x:c r="C28" s="45" t="str">
        <x:v>Transacciones</x:v>
      </x:c>
      <x:c r="D28" s="45" t="str">
        <x:v>Filtrar por tipo</x:v>
      </x:c>
      <x:c r="E28" s="45" t="str">
        <x:v>Permitir buscar transacciones por tipo de operación.</x:v>
      </x:c>
      <x:c r="F28" s="45" t="str">
        <x:v>transacciones</x:v>
      </x:c>
      <x:c r="G28" s="45" t="str">
        <x:v>id, tipo, created_at, monto_centavos</x:v>
      </x:c>
      <x:c r="H28" s="45" t="str">
        <x:v>Tipos recomendados: TRANSFERENCIA, PAGO_QR, RECARGA, RETIRO, DEVOLUCION.</x:v>
      </x:c>
      <x:c r="I28" s="45" t="str">
        <x:v>Media</x:v>
      </x:c>
      <x:c r="J28" s="45" t="str">
        <x:v>Usar catálogo o constraint CHECK.</x:v>
      </x:c>
    </x:row>
    <x:row r="29" ht="60" customHeight="1">
      <x:c r="A29" s="45" t="n">
        <x:v>28</x:v>
      </x:c>
      <x:c r="B29" s="45" t="str">
        <x:v>RF28</x:v>
      </x:c>
      <x:c r="C29" s="45" t="str">
        <x:v>Transacciones</x:v>
      </x:c>
      <x:c r="D29" s="45" t="str">
        <x:v>Registrar descripción</x:v>
      </x:c>
      <x:c r="E29" s="45" t="str">
        <x:v>Permitir agregar una nota o descripción a la transacción.</x:v>
      </x:c>
      <x:c r="F29" s="45" t="str">
        <x:v>transacciones</x:v>
      </x:c>
      <x:c r="G29" s="45" t="str">
        <x:v>descripcion</x:v>
      </x:c>
      <x:c r="H29" s="45" t="str">
        <x:v>Texto opcional; limitar longitud.</x:v>
      </x:c>
      <x:c r="I29" s="45" t="str">
        <x:v>Baja</x:v>
      </x:c>
      <x:c r="J29" s="45" t="str">
        <x:v>No debe contener datos sensibles.</x:v>
      </x:c>
    </x:row>
    <x:row r="30" ht="60" customHeight="1">
      <x:c r="A30" s="45" t="n">
        <x:v>29</x:v>
      </x:c>
      <x:c r="B30" s="45" t="str">
        <x:v>RF29</x:v>
      </x:c>
      <x:c r="C30" s="45" t="str">
        <x:v>Transacciones</x:v>
      </x:c>
      <x:c r="D30" s="45" t="str">
        <x:v>Generar referencia externa</x:v>
      </x:c>
      <x:c r="E30" s="45" t="str">
        <x:v>Asignar referencia única para rastrear una operación.</x:v>
      </x:c>
      <x:c r="F30" s="45" t="str">
        <x:v>transacciones</x:v>
      </x:c>
      <x:c r="G30" s="45" t="str">
        <x:v>referencia_externa</x:v>
      </x:c>
      <x:c r="H30" s="45" t="str">
        <x:v>Debe ser única cuando aplique.</x:v>
      </x:c>
      <x:c r="I30" s="45" t="str">
        <x:v>Alta</x:v>
      </x:c>
      <x:c r="J30" s="45" t="str">
        <x:v>Agregar índice único si será identificador público.</x:v>
      </x:c>
    </x:row>
    <x:row r="31" ht="60" customHeight="1">
      <x:c r="A31" s="45" t="n">
        <x:v>30</x:v>
      </x:c>
      <x:c r="B31" s="45" t="str">
        <x:v>RF30</x:v>
      </x:c>
      <x:c r="C31" s="45" t="str">
        <x:v>Transacciones</x:v>
      </x:c>
      <x:c r="D31" s="45" t="str">
        <x:v>Cambiar estado de transacción</x:v>
      </x:c>
      <x:c r="E31" s="45" t="str">
        <x:v>Actualizar el estado de una transacción según el resultado.</x:v>
      </x:c>
      <x:c r="F31" s="45" t="str">
        <x:v>transacciones</x:v>
      </x:c>
      <x:c r="G31" s="45" t="str">
        <x:v>id, estado</x:v>
      </x:c>
      <x:c r="H31" s="45" t="str">
        <x:v>Controlar transiciones válidas: PENDIENTE -&gt; COMPLETADA/RECHAZADA.</x:v>
      </x:c>
      <x:c r="I31" s="45" t="str">
        <x:v>Alta</x:v>
      </x:c>
      <x:c r="J31" s="45" t="str">
        <x:v>No permitir cambios arbitrarios sin auditoría.</x:v>
      </x:c>
    </x:row>
    <x:row r="32" ht="60" customHeight="1">
      <x:c r="A32" s="45" t="n">
        <x:v>31</x:v>
      </x:c>
      <x:c r="B32" s="45" t="str">
        <x:v>RF31</x:v>
      </x:c>
      <x:c r="C32" s="45" t="str">
        <x:v>Transacciones</x:v>
      </x:c>
      <x:c r="D32" s="45" t="str">
        <x:v>Rechazar transacción</x:v>
      </x:c>
      <x:c r="E32" s="45" t="str">
        <x:v>Registrar como rechazada una operación que no supera validaciones.</x:v>
      </x:c>
      <x:c r="F32" s="45" t="str">
        <x:v>transacciones, cuentas</x:v>
      </x:c>
      <x:c r="G32" s="45" t="str">
        <x:v>transacciones.estado, transacciones.descripcion, cuentas.estado, cuentas.saldo_centavos</x:v>
      </x:c>
      <x:c r="H32" s="45" t="str">
        <x:v>Guardar motivo en descripción o campo específico.</x:v>
      </x:c>
      <x:c r="I32" s="45" t="str">
        <x:v>Alta</x:v>
      </x:c>
      <x:c r="J32" s="45" t="str">
        <x:v>Mejor crear campo motivo_rechazo.</x:v>
      </x:c>
    </x:row>
    <x:row r="33" ht="60" customHeight="1">
      <x:c r="A33" s="45" t="n">
        <x:v>32</x:v>
      </x:c>
      <x:c r="B33" s="45" t="str">
        <x:v>RF32</x:v>
      </x:c>
      <x:c r="C33" s="45" t="str">
        <x:v>Transacciones</x:v>
      </x:c>
      <x:c r="D33" s="45" t="str">
        <x:v>Reversar transacción</x:v>
      </x:c>
      <x:c r="E33" s="45" t="str">
        <x:v>Permitir revertir una operación completada por error o devolución.</x:v>
      </x:c>
      <x:c r="F33" s="45" t="str">
        <x:v>transacciones</x:v>
      </x:c>
      <x:c r="G33" s="45" t="str">
        <x:v>id, estado, referencia_externa</x:v>
      </x:c>
      <x:c r="H33" s="45" t="str">
        <x:v>Solo ciertas transacciones pueden reversarse.</x:v>
      </x:c>
      <x:c r="I33" s="45" t="str">
        <x:v>Alta</x:v>
      </x:c>
      <x:c r="J33" s="45" t="str">
        <x:v>Falta ledger para reversas contables sólidas.</x:v>
      </x:c>
    </x:row>
    <x:row r="34" ht="60" customHeight="1">
      <x:c r="A34" s="45" t="n">
        <x:v>33</x:v>
      </x:c>
      <x:c r="B34" s="45" t="str">
        <x:v>RF33</x:v>
      </x:c>
      <x:c r="C34" s="45" t="str">
        <x:v>Transacciones</x:v>
      </x:c>
      <x:c r="D34" s="45" t="str">
        <x:v>Calcular monto enviado</x:v>
      </x:c>
      <x:c r="E34" s="45" t="str">
        <x:v>Calcular monto total enviado por un usuario en un periodo.</x:v>
      </x:c>
      <x:c r="F34" s="45" t="str">
        <x:v>transacciones, cuentas</x:v>
      </x:c>
      <x:c r="G34" s="45" t="str">
        <x:v>cuentas.usuario_id, transacciones.cuenta_origen_id, transacciones.monto_centavos, transacciones.estado, transacciones.created_at</x:v>
      </x:c>
      <x:c r="H34" s="45" t="str">
        <x:v>Sumar solo transacciones COMPLETADAS.</x:v>
      </x:c>
      <x:c r="I34" s="45" t="str">
        <x:v>Media</x:v>
      </x:c>
      <x:c r="J34" s="45" t="str">
        <x:v>Útil para límites y reportes.</x:v>
      </x:c>
    </x:row>
    <x:row r="35" ht="60" customHeight="1">
      <x:c r="A35" s="45" t="n">
        <x:v>34</x:v>
      </x:c>
      <x:c r="B35" s="45" t="str">
        <x:v>RF34</x:v>
      </x:c>
      <x:c r="C35" s="45" t="str">
        <x:v>Transacciones</x:v>
      </x:c>
      <x:c r="D35" s="45" t="str">
        <x:v>Calcular monto recibido</x:v>
      </x:c>
      <x:c r="E35" s="45" t="str">
        <x:v>Calcular monto total recibido por un usuario en un periodo.</x:v>
      </x:c>
      <x:c r="F35" s="45" t="str">
        <x:v>transacciones, cuentas</x:v>
      </x:c>
      <x:c r="G35" s="45" t="str">
        <x:v>cuentas.usuario_id, transacciones.cuenta_destino_id, transacciones.monto_centavos, transacciones.estado, transacciones.created_at</x:v>
      </x:c>
      <x:c r="H35" s="45" t="str">
        <x:v>Sumar solo transacciones COMPLETADAS.</x:v>
      </x:c>
      <x:c r="I35" s="45" t="str">
        <x:v>Media</x:v>
      </x:c>
      <x:c r="J35" s="45" t="str">
        <x:v>Útil para dashboard.</x:v>
      </x:c>
    </x:row>
    <x:row r="36" ht="60" customHeight="1">
      <x:c r="A36" s="45" t="n">
        <x:v>35</x:v>
      </x:c>
      <x:c r="B36" s="45" t="str">
        <x:v>RF35</x:v>
      </x:c>
      <x:c r="C36" s="45" t="str">
        <x:v>Transacciones</x:v>
      </x:c>
      <x:c r="D36" s="45" t="str">
        <x:v>Detectar operación sospechosa por monto</x:v>
      </x:c>
      <x:c r="E36" s="45" t="str">
        <x:v>Identificar transacciones que superen un umbral definido.</x:v>
      </x:c>
      <x:c r="F36" s="45" t="str">
        <x:v>transacciones</x:v>
      </x:c>
      <x:c r="G36" s="45" t="str">
        <x:v>id, monto_centavos, tipo, estado, created_at</x:v>
      </x:c>
      <x:c r="H36" s="45" t="str">
        <x:v>Comparar con umbral de riesgo.</x:v>
      </x:c>
      <x:c r="I36" s="45" t="str">
        <x:v>Media</x:v>
      </x:c>
      <x:c r="J36" s="45" t="str">
        <x:v>Falta tabla de reglas antifraude.</x:v>
      </x:c>
    </x:row>
    <x:row r="37" ht="60" customHeight="1">
      <x:c r="A37" s="45" t="n">
        <x:v>36</x:v>
      </x:c>
      <x:c r="B37" s="45" t="str">
        <x:v>RF36</x:v>
      </x:c>
      <x:c r="C37" s="45" t="str">
        <x:v>Transacciones</x:v>
      </x:c>
      <x:c r="D37" s="45" t="str">
        <x:v>Evitar doble procesamiento</x:v>
      </x:c>
      <x:c r="E37" s="45" t="str">
        <x:v>Impedir que una misma operación se procese dos veces.</x:v>
      </x:c>
      <x:c r="F37" s="45" t="str">
        <x:v>transacciones</x:v>
      </x:c>
      <x:c r="G37" s="45" t="str">
        <x:v>id, referencia_externa, estado</x:v>
      </x:c>
      <x:c r="H37" s="45" t="str">
        <x:v>Referencia externa única/idempotency key.</x:v>
      </x:c>
      <x:c r="I37" s="45" t="str">
        <x:v>Alta</x:v>
      </x:c>
      <x:c r="J37" s="45" t="str">
        <x:v>Agregar campo idempotency_key sería ideal.</x:v>
      </x:c>
    </x:row>
    <x:row r="38" ht="60" customHeight="1">
      <x:c r="A38" s="45" t="n">
        <x:v>37</x:v>
      </x:c>
      <x:c r="B38" s="45" t="str">
        <x:v>RF37</x:v>
      </x:c>
      <x:c r="C38" s="45" t="str">
        <x:v>Pagos QR</x:v>
      </x:c>
      <x:c r="D38" s="45" t="str">
        <x:v>Generar pago QR</x:v>
      </x:c>
      <x:c r="E38" s="45" t="str">
        <x:v>Permitir al comercio crear un QR de cobro.</x:v>
      </x:c>
      <x:c r="F38" s="45" t="str">
        <x:v>pagos_qr, comercios</x:v>
      </x:c>
      <x:c r="G38" s="45" t="str">
        <x:v>pagos_qr.comercio_id, pagos_qr.codigo_qr, pagos_qr.monto_centavos, pagos_qr.estado, pagos_qr.expira_en, pagos_qr.created_at, comercios.estado</x:v>
      </x:c>
      <x:c r="H38" s="45" t="str">
        <x:v>Comercio activo; monto positivo; fecha de expiración válida.</x:v>
      </x:c>
      <x:c r="I38" s="45" t="str">
        <x:v>Alta</x:v>
      </x:c>
      <x:c r="J38" s="45" t="str">
        <x:v>QR debe ser único y temporal.</x:v>
      </x:c>
    </x:row>
    <x:row r="39" ht="60" customHeight="1">
      <x:c r="A39" s="45" t="n">
        <x:v>38</x:v>
      </x:c>
      <x:c r="B39" s="45" t="str">
        <x:v>RF38</x:v>
      </x:c>
      <x:c r="C39" s="45" t="str">
        <x:v>Pagos QR</x:v>
      </x:c>
      <x:c r="D39" s="45" t="str">
        <x:v>Consultar QR por código</x:v>
      </x:c>
      <x:c r="E39" s="45" t="str">
        <x:v>Buscar un pago QR usando su código.</x:v>
      </x:c>
      <x:c r="F39" s="45" t="str">
        <x:v>pagos_qr</x:v>
      </x:c>
      <x:c r="G39" s="45" t="str">
        <x:v>id, codigo_qr, comercio_id, monto_centavos, estado, expira_en</x:v>
      </x:c>
      <x:c r="H39" s="45" t="str">
        <x:v>codigo_qr debe ser único.</x:v>
      </x:c>
      <x:c r="I39" s="45" t="str">
        <x:v>Alta</x:v>
      </x:c>
      <x:c r="J39" s="45" t="str">
        <x:v>Agregar índice único sobre codigo_qr.</x:v>
      </x:c>
    </x:row>
    <x:row r="40" ht="60" customHeight="1">
      <x:c r="A40" s="45" t="n">
        <x:v>39</x:v>
      </x:c>
      <x:c r="B40" s="45" t="str">
        <x:v>RF39</x:v>
      </x:c>
      <x:c r="C40" s="45" t="str">
        <x:v>Pagos QR</x:v>
      </x:c>
      <x:c r="D40" s="45" t="str">
        <x:v>Validar QR vigente</x:v>
      </x:c>
      <x:c r="E40" s="45" t="str">
        <x:v>Verificar que el QR no esté expirado antes de pagar.</x:v>
      </x:c>
      <x:c r="F40" s="45" t="str">
        <x:v>pagos_qr</x:v>
      </x:c>
      <x:c r="G40" s="45" t="str">
        <x:v>id, codigo_qr, estado, expira_en</x:v>
      </x:c>
      <x:c r="H40" s="45" t="str">
        <x:v>Fecha actual &lt;= expira_en y estado válido.</x:v>
      </x:c>
      <x:c r="I40" s="45" t="str">
        <x:v>Alta</x:v>
      </x:c>
      <x:c r="J40" s="45" t="str">
        <x:v>Proceso automático debe expirar QRs vencidos.</x:v>
      </x:c>
    </x:row>
    <x:row r="41" ht="60" customHeight="1">
      <x:c r="A41" s="45" t="n">
        <x:v>40</x:v>
      </x:c>
      <x:c r="B41" s="45" t="str">
        <x:v>RF40</x:v>
      </x:c>
      <x:c r="C41" s="45" t="str">
        <x:v>Pagos QR</x:v>
      </x:c>
      <x:c r="D41" s="45" t="str">
        <x:v>Validar monto de QR</x:v>
      </x:c>
      <x:c r="E41" s="45" t="str">
        <x:v>Confirmar que el monto a pagar coincida con el monto registrado.</x:v>
      </x:c>
      <x:c r="F41" s="45" t="str">
        <x:v>pagos_qr</x:v>
      </x:c>
      <x:c r="G41" s="45" t="str">
        <x:v>id, monto_centavos</x:v>
      </x:c>
      <x:c r="H41" s="45" t="str">
        <x:v>monto_centavos &gt; 0.</x:v>
      </x:c>
      <x:c r="I41" s="45" t="str">
        <x:v>Alta</x:v>
      </x:c>
      <x:c r="J41" s="45" t="str">
        <x:v>Evita manipulación del monto en frontend.</x:v>
      </x:c>
    </x:row>
    <x:row r="42" ht="60" customHeight="1">
      <x:c r="A42" s="45" t="n">
        <x:v>41</x:v>
      </x:c>
      <x:c r="B42" s="45" t="str">
        <x:v>RF41</x:v>
      </x:c>
      <x:c r="C42" s="45" t="str">
        <x:v>Pagos QR</x:v>
      </x:c>
      <x:c r="D42" s="45" t="str">
        <x:v>Pagar mediante QR</x:v>
      </x:c>
      <x:c r="E42" s="45" t="str">
        <x:v>Permitir pagar a un comercio escaneando un QR válido.</x:v>
      </x:c>
      <x:c r="F42" s="45" t="str">
        <x:v>pagos_qr, transacciones, cuentas, comercios</x:v>
      </x:c>
      <x:c r="G42" s="45" t="str">
        <x:v>pagos_qr.transaccion_id, pagos_qr.estado, transacciones.id, transacciones.monto_centavos, cuentas.saldo_centavos, comercios.id</x:v>
      </x:c>
      <x:c r="H42" s="45" t="str">
        <x:v>QR vigente; usuario con cuenta activa y saldo suficiente.</x:v>
      </x:c>
      <x:c r="I42" s="45" t="str">
        <x:v>Alta</x:v>
      </x:c>
      <x:c r="J42" s="45" t="str">
        <x:v>Falta relación clara comercio-cuenta para abonar al comercio.</x:v>
      </x:c>
    </x:row>
    <x:row r="43" ht="60" customHeight="1">
      <x:c r="A43" s="45" t="n">
        <x:v>42</x:v>
      </x:c>
      <x:c r="B43" s="45" t="str">
        <x:v>RF42</x:v>
      </x:c>
      <x:c r="C43" s="45" t="str">
        <x:v>Pagos QR</x:v>
      </x:c>
      <x:c r="D43" s="45" t="str">
        <x:v>Asociar QR a transacción</x:v>
      </x:c>
      <x:c r="E43" s="45" t="str">
        <x:v>Relacionar el pago QR con la transacción financiera generada.</x:v>
      </x:c>
      <x:c r="F43" s="45" t="str">
        <x:v>pagos_qr, transacciones</x:v>
      </x:c>
      <x:c r="G43" s="45" t="str">
        <x:v>pagos_qr.transaccion_id, transacciones.id</x:v>
      </x:c>
      <x:c r="H43" s="45" t="str">
        <x:v>Una vez pagado, debe tener transaccion_id.</x:v>
      </x:c>
      <x:c r="I43" s="45" t="str">
        <x:v>Alta</x:v>
      </x:c>
      <x:c r="J43" s="45" t="str">
        <x:v>transaccion_id podría ser único para evitar duplicidad.</x:v>
      </x:c>
    </x:row>
    <x:row r="44" ht="60" customHeight="1">
      <x:c r="A44" s="45" t="n">
        <x:v>43</x:v>
      </x:c>
      <x:c r="B44" s="45" t="str">
        <x:v>RF43</x:v>
      </x:c>
      <x:c r="C44" s="45" t="str">
        <x:v>Pagos QR</x:v>
      </x:c>
      <x:c r="D44" s="45" t="str">
        <x:v>Expirar QR vencido</x:v>
      </x:c>
      <x:c r="E44" s="45" t="str">
        <x:v>Cambiar a expirado un QR que superó su tiempo de vigencia.</x:v>
      </x:c>
      <x:c r="F44" s="45" t="str">
        <x:v>pagos_qr</x:v>
      </x:c>
      <x:c r="G44" s="45" t="str">
        <x:v>id, estado, expira_en</x:v>
      </x:c>
      <x:c r="H44" s="45" t="str">
        <x:v>Si fecha actual &gt; expira_en y no fue pagado, marcar EXPIRADO.</x:v>
      </x:c>
      <x:c r="I44" s="45" t="str">
        <x:v>Media</x:v>
      </x:c>
      <x:c r="J44" s="45" t="str">
        <x:v>Puede ser job programado.</x:v>
      </x:c>
    </x:row>
    <x:row r="45" ht="60" customHeight="1">
      <x:c r="A45" s="45" t="n">
        <x:v>44</x:v>
      </x:c>
      <x:c r="B45" s="45" t="str">
        <x:v>RF44</x:v>
      </x:c>
      <x:c r="C45" s="45" t="str">
        <x:v>Pagos QR</x:v>
      </x:c>
      <x:c r="D45" s="45" t="str">
        <x:v>Cancelar QR</x:v>
      </x:c>
      <x:c r="E45" s="45" t="str">
        <x:v>Permitir al comercio cancelar un QR antes de ser pagado.</x:v>
      </x:c>
      <x:c r="F45" s="45" t="str">
        <x:v>pagos_qr</x:v>
      </x:c>
      <x:c r="G45" s="45" t="str">
        <x:v>id, comercio_id, estado</x:v>
      </x:c>
      <x:c r="H45" s="45" t="str">
        <x:v>Solo QRs pendientes/generados pueden cancelarse.</x:v>
      </x:c>
      <x:c r="I45" s="45" t="str">
        <x:v>Media</x:v>
      </x:c>
      <x:c r="J45" s="45" t="str">
        <x:v>Debe auditarse.</x:v>
      </x:c>
    </x:row>
    <x:row r="46" ht="60" customHeight="1">
      <x:c r="A46" s="45" t="n">
        <x:v>45</x:v>
      </x:c>
      <x:c r="B46" s="45" t="str">
        <x:v>RF45</x:v>
      </x:c>
      <x:c r="C46" s="45" t="str">
        <x:v>Pagos QR</x:v>
      </x:c>
      <x:c r="D46" s="45" t="str">
        <x:v>Consultar QR generados por comercio</x:v>
      </x:c>
      <x:c r="E46" s="45" t="str">
        <x:v>Listar los códigos QR creados por un comercio.</x:v>
      </x:c>
      <x:c r="F46" s="45" t="str">
        <x:v>pagos_qr, comercios</x:v>
      </x:c>
      <x:c r="G46" s="45" t="str">
        <x:v>pagos_qr.comercio_id, comercios.id, pagos_qr.codigo_qr, pagos_qr.estado, pagos_qr.created_at</x:v>
      </x:c>
      <x:c r="H46" s="45" t="str">
        <x:v>Filtrar por comercio autenticado o administrador.</x:v>
      </x:c>
      <x:c r="I46" s="45" t="str">
        <x:v>Media</x:v>
      </x:c>
      <x:c r="J46" s="45" t="str">
        <x:v>Debe paginarse.</x:v>
      </x:c>
    </x:row>
    <x:row r="47" ht="60" customHeight="1">
      <x:c r="A47" s="45" t="n">
        <x:v>46</x:v>
      </x:c>
      <x:c r="B47" s="45" t="str">
        <x:v>RF46</x:v>
      </x:c>
      <x:c r="C47" s="45" t="str">
        <x:v>Pagos QR</x:v>
      </x:c>
      <x:c r="D47" s="45" t="str">
        <x:v>Consultar pagos QR completados</x:v>
      </x:c>
      <x:c r="E47" s="45" t="str">
        <x:v>Mostrar pagos QR que fueron pagados correctamente.</x:v>
      </x:c>
      <x:c r="F47" s="45" t="str">
        <x:v>pagos_qr, transacciones, comercios</x:v>
      </x:c>
      <x:c r="G47" s="45" t="str">
        <x:v>pagos_qr.estado, pagos_qr.transaccion_id, transacciones.estado, transacciones.monto_centavos, comercios.id</x:v>
      </x:c>
      <x:c r="H47" s="45" t="str">
        <x:v>Estado QR PAGADO y transacción COMPLETADA.</x:v>
      </x:c>
      <x:c r="I47" s="45" t="str">
        <x:v>Media</x:v>
      </x:c>
      <x:c r="J47" s="45" t="str">
        <x:v>Útil para conciliación de comercios.</x:v>
      </x:c>
    </x:row>
    <x:row r="48" ht="60" customHeight="1">
      <x:c r="A48" s="45" t="n">
        <x:v>47</x:v>
      </x:c>
      <x:c r="B48" s="45" t="str">
        <x:v>RF47</x:v>
      </x:c>
      <x:c r="C48" s="45" t="str">
        <x:v>Comercios</x:v>
      </x:c>
      <x:c r="D48" s="45" t="str">
        <x:v>Registrar comercio</x:v>
      </x:c>
      <x:c r="E48" s="45" t="str">
        <x:v>Permitir registrar comercios afiliados.</x:v>
      </x:c>
      <x:c r="F48" s="45" t="str">
        <x:v>comercios</x:v>
      </x:c>
      <x:c r="G48" s="45" t="str">
        <x:v>ruc, razon_social, nombre_comercial, categoria, estado, created_at</x:v>
      </x:c>
      <x:c r="H48" s="45" t="str">
        <x:v>RUC único; estado inicial PENDIENTE o ACTIVO.</x:v>
      </x:c>
      <x:c r="I48" s="45" t="str">
        <x:v>Alta</x:v>
      </x:c>
      <x:c r="J48" s="45" t="str">
        <x:v>Faltan datos de contacto y cuenta receptora.</x:v>
      </x:c>
    </x:row>
    <x:row r="49" ht="60" customHeight="1">
      <x:c r="A49" s="45" t="n">
        <x:v>48</x:v>
      </x:c>
      <x:c r="B49" s="45" t="str">
        <x:v>RF48</x:v>
      </x:c>
      <x:c r="C49" s="45" t="str">
        <x:v>Comercios</x:v>
      </x:c>
      <x:c r="D49" s="45" t="str">
        <x:v>Validar RUC único</x:v>
      </x:c>
      <x:c r="E49" s="45" t="str">
        <x:v>Evitar registrar dos comercios con el mismo RUC.</x:v>
      </x:c>
      <x:c r="F49" s="45" t="str">
        <x:v>comercios</x:v>
      </x:c>
      <x:c r="G49" s="45" t="str">
        <x:v>id, ruc</x:v>
      </x:c>
      <x:c r="H49" s="45" t="str">
        <x:v>RUC no debe repetirse.</x:v>
      </x:c>
      <x:c r="I49" s="45" t="str">
        <x:v>Alta</x:v>
      </x:c>
      <x:c r="J49" s="45" t="str">
        <x:v>Agregar índice único sobre ruc.</x:v>
      </x:c>
    </x:row>
    <x:row r="50" ht="60" customHeight="1">
      <x:c r="A50" s="45" t="n">
        <x:v>49</x:v>
      </x:c>
      <x:c r="B50" s="45" t="str">
        <x:v>RF49</x:v>
      </x:c>
      <x:c r="C50" s="45" t="str">
        <x:v>Comercios</x:v>
      </x:c>
      <x:c r="D50" s="45" t="str">
        <x:v>Consultar comercio</x:v>
      </x:c>
      <x:c r="E50" s="45" t="str">
        <x:v>Mostrar datos de un comercio registrado.</x:v>
      </x:c>
      <x:c r="F50" s="45" t="str">
        <x:v>comercios</x:v>
      </x:c>
      <x:c r="G50" s="45" t="str">
        <x:v>id, ruc, razon_social, nombre_comercial, categoria, estado</x:v>
      </x:c>
      <x:c r="H50" s="45" t="str">
        <x:v>Controlar visibilidad de datos sensibles.</x:v>
      </x:c>
      <x:c r="I50" s="45" t="str">
        <x:v>Media</x:v>
      </x:c>
      <x:c r="J50" s="45" t="str">
        <x:v>Puede ser público parcialmente.</x:v>
      </x:c>
    </x:row>
    <x:row r="51" ht="60" customHeight="1">
      <x:c r="A51" s="45" t="n">
        <x:v>50</x:v>
      </x:c>
      <x:c r="B51" s="45" t="str">
        <x:v>RF50</x:v>
      </x:c>
      <x:c r="C51" s="45" t="str">
        <x:v>Comercios</x:v>
      </x:c>
      <x:c r="D51" s="45" t="str">
        <x:v>Actualizar comercio</x:v>
      </x:c>
      <x:c r="E51" s="45" t="str">
        <x:v>Permitir modificar datos comerciales.</x:v>
      </x:c>
      <x:c r="F51" s="45" t="str">
        <x:v>comercios</x:v>
      </x:c>
      <x:c r="G51" s="45" t="str">
        <x:v>razon_social, nombre_comercial, categoria, estado</x:v>
      </x:c>
      <x:c r="H51" s="45" t="str">
        <x:v>Solo usuarios autorizados o administrador.</x:v>
      </x:c>
      <x:c r="I51" s="45" t="str">
        <x:v>Media</x:v>
      </x:c>
      <x:c r="J51" s="45" t="str">
        <x:v>Falta updated_at en comercios.</x:v>
      </x:c>
    </x:row>
    <x:row r="52" ht="60" customHeight="1">
      <x:c r="A52" s="45" t="n">
        <x:v>51</x:v>
      </x:c>
      <x:c r="B52" s="45" t="str">
        <x:v>RF51</x:v>
      </x:c>
      <x:c r="C52" s="45" t="str">
        <x:v>Comercios</x:v>
      </x:c>
      <x:c r="D52" s="45" t="str">
        <x:v>Activar comercio</x:v>
      </x:c>
      <x:c r="E52" s="45" t="str">
        <x:v>Permitir activar un comercio luego de validación.</x:v>
      </x:c>
      <x:c r="F52" s="45" t="str">
        <x:v>comercios</x:v>
      </x:c>
      <x:c r="G52" s="45" t="str">
        <x:v>id, estado</x:v>
      </x:c>
      <x:c r="H52" s="45" t="str">
        <x:v>Solo administrador o proceso de validación.</x:v>
      </x:c>
      <x:c r="I52" s="45" t="str">
        <x:v>Alta</x:v>
      </x:c>
      <x:c r="J52" s="45" t="str">
        <x:v>Estado inicial debería ser PENDIENTE_VERIFICACION.</x:v>
      </x:c>
    </x:row>
    <x:row r="53" ht="60" customHeight="1">
      <x:c r="A53" s="45" t="n">
        <x:v>52</x:v>
      </x:c>
      <x:c r="B53" s="45" t="str">
        <x:v>RF52</x:v>
      </x:c>
      <x:c r="C53" s="45" t="str">
        <x:v>Comercios</x:v>
      </x:c>
      <x:c r="D53" s="45" t="str">
        <x:v>Bloquear comercio</x:v>
      </x:c>
      <x:c r="E53" s="45" t="str">
        <x:v>Bloquear un comercio por fraude, inactividad o incumplimiento.</x:v>
      </x:c>
      <x:c r="F53" s="45" t="str">
        <x:v>comercios</x:v>
      </x:c>
      <x:c r="G53" s="45" t="str">
        <x:v>id, estado</x:v>
      </x:c>
      <x:c r="H53" s="45" t="str">
        <x:v>Comercio bloqueado no puede generar QR.</x:v>
      </x:c>
      <x:c r="I53" s="45" t="str">
        <x:v>Alta</x:v>
      </x:c>
      <x:c r="J53" s="45" t="str">
        <x:v>Bloqueo debe auditarse.</x:v>
      </x:c>
    </x:row>
    <x:row r="54" ht="60" customHeight="1">
      <x:c r="A54" s="45" t="n">
        <x:v>53</x:v>
      </x:c>
      <x:c r="B54" s="45" t="str">
        <x:v>RF53</x:v>
      </x:c>
      <x:c r="C54" s="45" t="str">
        <x:v>Comercios</x:v>
      </x:c>
      <x:c r="D54" s="45" t="str">
        <x:v>Listar comercios por categoría</x:v>
      </x:c>
      <x:c r="E54" s="45" t="str">
        <x:v>Permitir buscar comercios por rubro/categoría.</x:v>
      </x:c>
      <x:c r="F54" s="45" t="str">
        <x:v>comercios</x:v>
      </x:c>
      <x:c r="G54" s="45" t="str">
        <x:v>id, nombre_comercial, categoria, estado</x:v>
      </x:c>
      <x:c r="H54" s="45" t="str">
        <x:v>Mostrar solo comercios activos en vista pública.</x:v>
      </x:c>
      <x:c r="I54" s="45" t="str">
        <x:v>Baja</x:v>
      </x:c>
      <x:c r="J54" s="45" t="str">
        <x:v>Útil si hay directorio de comercios.</x:v>
      </x:c>
    </x:row>
    <x:row r="55" ht="60" customHeight="1">
      <x:c r="A55" s="45" t="n">
        <x:v>54</x:v>
      </x:c>
      <x:c r="B55" s="45" t="str">
        <x:v>RF54</x:v>
      </x:c>
      <x:c r="C55" s="45" t="str">
        <x:v>Comercios</x:v>
      </x:c>
      <x:c r="D55" s="45" t="str">
        <x:v>Consultar pagos de comercio</x:v>
      </x:c>
      <x:c r="E55" s="45" t="str">
        <x:v>Mostrar operaciones QR asociadas a un comercio.</x:v>
      </x:c>
      <x:c r="F55" s="45" t="str">
        <x:v>comercios, pagos_qr, transacciones</x:v>
      </x:c>
      <x:c r="G55" s="45" t="str">
        <x:v>comercios.id, pagos_qr.comercio_id, pagos_qr.transaccion_id, transacciones.monto_centavos, transacciones.estado</x:v>
      </x:c>
      <x:c r="H55" s="45" t="str">
        <x:v>Solo el comercio dueño o admin puede ver detalle.</x:v>
      </x:c>
      <x:c r="I55" s="45" t="str">
        <x:v>Media</x:v>
      </x:c>
      <x:c r="J55" s="45" t="str">
        <x:v>Necesario para panel de comercio.</x:v>
      </x:c>
    </x:row>
    <x:row r="56" ht="60" customHeight="1">
      <x:c r="A56" s="45" t="n">
        <x:v>55</x:v>
      </x:c>
      <x:c r="B56" s="45" t="str">
        <x:v>RF55</x:v>
      </x:c>
      <x:c r="C56" s="45" t="str">
        <x:v>Comercios</x:v>
      </x:c>
      <x:c r="D56" s="45" t="str">
        <x:v>Reportar ingresos por comercio</x:v>
      </x:c>
      <x:c r="E56" s="45" t="str">
        <x:v>Calcular total cobrado por comercio en un periodo.</x:v>
      </x:c>
      <x:c r="F56" s="45" t="str">
        <x:v>comercios, pagos_qr, transacciones</x:v>
      </x:c>
      <x:c r="G56" s="45" t="str">
        <x:v>comercios.id, pagos_qr.comercio_id, transacciones.monto_centavos, transacciones.estado, transacciones.created_at</x:v>
      </x:c>
      <x:c r="H56" s="45" t="str">
        <x:v>Sumar transacciones COMPLETADAS.</x:v>
      </x:c>
      <x:c r="I56" s="45" t="str">
        <x:v>Media</x:v>
      </x:c>
      <x:c r="J56" s="45" t="str">
        <x:v>Sirve para conciliación.</x:v>
      </x:c>
    </x:row>
    <x:row r="57" ht="60" customHeight="1">
      <x:c r="A57" s="45" t="n">
        <x:v>56</x:v>
      </x:c>
      <x:c r="B57" s="45" t="str">
        <x:v>RF56</x:v>
      </x:c>
      <x:c r="C57" s="45" t="str">
        <x:v>Comercios</x:v>
      </x:c>
      <x:c r="D57" s="45" t="str">
        <x:v>Suspender QR de comercio bloqueado</x:v>
      </x:c>
      <x:c r="E57" s="45" t="str">
        <x:v>Evitar que un comercio bloqueado genere o cobre nuevos QR.</x:v>
      </x:c>
      <x:c r="F57" s="45" t="str">
        <x:v>comercios, pagos_qr</x:v>
      </x:c>
      <x:c r="G57" s="45" t="str">
        <x:v>comercios.estado, pagos_qr.estado</x:v>
      </x:c>
      <x:c r="H57" s="45" t="str">
        <x:v>Si comercio.estado != ACTIVO, no generar QR.</x:v>
      </x:c>
      <x:c r="I57" s="45" t="str">
        <x:v>Alta</x:v>
      </x:c>
      <x:c r="J57" s="45" t="str">
        <x:v>Regla crítica de seguridad comercial.</x:v>
      </x:c>
    </x:row>
    <x:row r="58" ht="60" customHeight="1">
      <x:c r="A58" s="45" t="n">
        <x:v>57</x:v>
      </x:c>
      <x:c r="B58" s="45" t="str">
        <x:v>RF57</x:v>
      </x:c>
      <x:c r="C58" s="45" t="str">
        <x:v>Contactos</x:v>
      </x:c>
      <x:c r="D58" s="45" t="str">
        <x:v>Agregar contacto</x:v>
      </x:c>
      <x:c r="E58" s="45" t="str">
        <x:v>Permitir que un usuario agregue otro usuario como contacto.</x:v>
      </x:c>
      <x:c r="F58" s="45" t="str">
        <x:v>contactos, usuarios</x:v>
      </x:c>
      <x:c r="G58" s="45" t="str">
        <x:v>contactos.usuario_id, contactos.contacto_usuario_id, contactos.alias, contactos.es_favorito, usuarios.id</x:v>
      </x:c>
      <x:c r="H58" s="45" t="str">
        <x:v>Ambos usuarios deben existir; contacto no debe ser el mismo usuario.</x:v>
      </x:c>
      <x:c r="I58" s="45" t="str">
        <x:v>Media</x:v>
      </x:c>
      <x:c r="J58" s="45" t="str">
        <x:v>Buena funcionalidad para transferencia rápida.</x:v>
      </x:c>
    </x:row>
    <x:row r="59" ht="60" customHeight="1">
      <x:c r="A59" s="45" t="n">
        <x:v>58</x:v>
      </x:c>
      <x:c r="B59" s="45" t="str">
        <x:v>RF58</x:v>
      </x:c>
      <x:c r="C59" s="45" t="str">
        <x:v>Contactos</x:v>
      </x:c>
      <x:c r="D59" s="45" t="str">
        <x:v>Validar contacto existente</x:v>
      </x:c>
      <x:c r="E59" s="45" t="str">
        <x:v>Evitar duplicar el mismo contacto para un usuario.</x:v>
      </x:c>
      <x:c r="F59" s="45" t="str">
        <x:v>contactos</x:v>
      </x:c>
      <x:c r="G59" s="45" t="str">
        <x:v>usuario_id, contacto_usuario_id</x:v>
      </x:c>
      <x:c r="H59" s="45" t="str">
        <x:v>Par usuario_id + contacto_usuario_id debe ser único.</x:v>
      </x:c>
      <x:c r="I59" s="45" t="str">
        <x:v>Media</x:v>
      </x:c>
      <x:c r="J59" s="45" t="str">
        <x:v>Agregar índice único compuesto.</x:v>
      </x:c>
    </x:row>
    <x:row r="60" ht="60" customHeight="1">
      <x:c r="A60" s="45" t="n">
        <x:v>59</x:v>
      </x:c>
      <x:c r="B60" s="45" t="str">
        <x:v>RF59</x:v>
      </x:c>
      <x:c r="C60" s="45" t="str">
        <x:v>Contactos</x:v>
      </x:c>
      <x:c r="D60" s="45" t="str">
        <x:v>Evitar autocontacto</x:v>
      </x:c>
      <x:c r="E60" s="45" t="str">
        <x:v>No permitir que un usuario se agregue a sí mismo.</x:v>
      </x:c>
      <x:c r="F60" s="45" t="str">
        <x:v>contactos</x:v>
      </x:c>
      <x:c r="G60" s="45" t="str">
        <x:v>usuario_id, contacto_usuario_id</x:v>
      </x:c>
      <x:c r="H60" s="45" t="str">
        <x:v>usuario_id != contacto_usuario_id.</x:v>
      </x:c>
      <x:c r="I60" s="45" t="str">
        <x:v>Media</x:v>
      </x:c>
      <x:c r="J60" s="45" t="str">
        <x:v>Constraint CHECK recomendable.</x:v>
      </x:c>
    </x:row>
    <x:row r="61" ht="60" customHeight="1">
      <x:c r="A61" s="45" t="n">
        <x:v>60</x:v>
      </x:c>
      <x:c r="B61" s="45" t="str">
        <x:v>RF60</x:v>
      </x:c>
      <x:c r="C61" s="45" t="str">
        <x:v>Contactos</x:v>
      </x:c>
      <x:c r="D61" s="45" t="str">
        <x:v>Listar contactos</x:v>
      </x:c>
      <x:c r="E61" s="45" t="str">
        <x:v>Mostrar los contactos guardados del usuario.</x:v>
      </x:c>
      <x:c r="F61" s="45" t="str">
        <x:v>contactos, usuarios</x:v>
      </x:c>
      <x:c r="G61" s="45" t="str">
        <x:v>contactos.usuario_id, contactos.contacto_usuario_id, usuarios.nombres, usuarios.apellidos, usuarios.telefono, contactos.alias, contactos.es_favorito</x:v>
      </x:c>
      <x:c r="H61" s="45" t="str">
        <x:v>Listar solo contactos del usuario autenticado.</x:v>
      </x:c>
      <x:c r="I61" s="45" t="str">
        <x:v>Media</x:v>
      </x:c>
      <x:c r="J61" s="45" t="str">
        <x:v>Ordenar favoritos primero.</x:v>
      </x:c>
    </x:row>
    <x:row r="62" ht="60" customHeight="1">
      <x:c r="A62" s="45" t="n">
        <x:v>61</x:v>
      </x:c>
      <x:c r="B62" s="45" t="str">
        <x:v>RF61</x:v>
      </x:c>
      <x:c r="C62" s="45" t="str">
        <x:v>Contactos</x:v>
      </x:c>
      <x:c r="D62" s="45" t="str">
        <x:v>Marcar favorito</x:v>
      </x:c>
      <x:c r="E62" s="45" t="str">
        <x:v>Permitir marcar un contacto como favorito.</x:v>
      </x:c>
      <x:c r="F62" s="45" t="str">
        <x:v>contactos</x:v>
      </x:c>
      <x:c r="G62" s="45" t="str">
        <x:v>id, usuario_id, es_favorito</x:v>
      </x:c>
      <x:c r="H62" s="45" t="str">
        <x:v>Solo dueño del contacto puede modificarlo.</x:v>
      </x:c>
      <x:c r="I62" s="45" t="str">
        <x:v>Baja</x:v>
      </x:c>
      <x:c r="J62" s="45" t="str">
        <x:v>Campo ya existe.</x:v>
      </x:c>
    </x:row>
    <x:row r="63" ht="60" customHeight="1">
      <x:c r="A63" s="45" t="n">
        <x:v>62</x:v>
      </x:c>
      <x:c r="B63" s="45" t="str">
        <x:v>RF62</x:v>
      </x:c>
      <x:c r="C63" s="45" t="str">
        <x:v>Contactos</x:v>
      </x:c>
      <x:c r="D63" s="45" t="str">
        <x:v>Quitar favorito</x:v>
      </x:c>
      <x:c r="E63" s="45" t="str">
        <x:v>Permitir quitar un contacto de favoritos.</x:v>
      </x:c>
      <x:c r="F63" s="45" t="str">
        <x:v>contactos</x:v>
      </x:c>
      <x:c r="G63" s="45" t="str">
        <x:v>id, usuario_id, es_favorito</x:v>
      </x:c>
      <x:c r="H63" s="45" t="str">
        <x:v>Solo dueño del contacto puede modificarlo.</x:v>
      </x:c>
      <x:c r="I63" s="45" t="str">
        <x:v>Baja</x:v>
      </x:c>
      <x:c r="J63" s="45" t="str">
        <x:v>Misma lógica que marcar favorito.</x:v>
      </x:c>
    </x:row>
    <x:row r="64" ht="60" customHeight="1">
      <x:c r="A64" s="45" t="n">
        <x:v>63</x:v>
      </x:c>
      <x:c r="B64" s="45" t="str">
        <x:v>RF63</x:v>
      </x:c>
      <x:c r="C64" s="45" t="str">
        <x:v>Contactos</x:v>
      </x:c>
      <x:c r="D64" s="45" t="str">
        <x:v>Editar alias</x:v>
      </x:c>
      <x:c r="E64" s="45" t="str">
        <x:v>Permitir cambiar el alias de un contacto.</x:v>
      </x:c>
      <x:c r="F64" s="45" t="str">
        <x:v>contactos</x:v>
      </x:c>
      <x:c r="G64" s="45" t="str">
        <x:v>id, usuario_id, alias</x:v>
      </x:c>
      <x:c r="H64" s="45" t="str">
        <x:v>Alias opcional y limitado en longitud.</x:v>
      </x:c>
      <x:c r="I64" s="45" t="str">
        <x:v>Baja</x:v>
      </x:c>
      <x:c r="J64" s="45" t="str">
        <x:v>No afecta usuario real.</x:v>
      </x:c>
    </x:row>
    <x:row r="65" ht="60" customHeight="1">
      <x:c r="A65" s="45" t="n">
        <x:v>64</x:v>
      </x:c>
      <x:c r="B65" s="45" t="str">
        <x:v>RF64</x:v>
      </x:c>
      <x:c r="C65" s="45" t="str">
        <x:v>Contactos</x:v>
      </x:c>
      <x:c r="D65" s="45" t="str">
        <x:v>Eliminar contacto</x:v>
      </x:c>
      <x:c r="E65" s="45" t="str">
        <x:v>Permitir eliminar un contacto guardado.</x:v>
      </x:c>
      <x:c r="F65" s="45" t="str">
        <x:v>contactos</x:v>
      </x:c>
      <x:c r="G65" s="45" t="str">
        <x:v>id, usuario_id, contacto_usuario_id</x:v>
      </x:c>
      <x:c r="H65" s="45" t="str">
        <x:v>Solo dueño puede eliminar.</x:v>
      </x:c>
      <x:c r="I65" s="45" t="str">
        <x:v>Media</x:v>
      </x:c>
      <x:c r="J65" s="45" t="str">
        <x:v>Puede ser borrado físico o lógico; no hay estado actualmente.</x:v>
      </x:c>
    </x:row>
    <x:row r="66" ht="60" customHeight="1">
      <x:c r="A66" s="45" t="n">
        <x:v>65</x:v>
      </x:c>
      <x:c r="B66" s="45" t="str">
        <x:v>RF65</x:v>
      </x:c>
      <x:c r="C66" s="45" t="str">
        <x:v>Contactos</x:v>
      </x:c>
      <x:c r="D66" s="45" t="str">
        <x:v>Listar favoritos</x:v>
      </x:c>
      <x:c r="E66" s="45" t="str">
        <x:v>Mostrar contactos marcados como favoritos.</x:v>
      </x:c>
      <x:c r="F66" s="45" t="str">
        <x:v>contactos</x:v>
      </x:c>
      <x:c r="G66" s="45" t="str">
        <x:v>usuario_id, es_favorito, alias, contacto_usuario_id</x:v>
      </x:c>
      <x:c r="H66" s="45" t="str">
        <x:v>Filtrar es_favorito = 1.</x:v>
      </x:c>
      <x:c r="I66" s="45" t="str">
        <x:v>Baja</x:v>
      </x:c>
      <x:c r="J66" s="45" t="str">
        <x:v>Útil para UX.</x:v>
      </x:c>
    </x:row>
    <x:row r="67" ht="60" customHeight="1">
      <x:c r="A67" s="45" t="n">
        <x:v>66</x:v>
      </x:c>
      <x:c r="B67" s="45" t="str">
        <x:v>RF66</x:v>
      </x:c>
      <x:c r="C67" s="45" t="str">
        <x:v>Contactos</x:v>
      </x:c>
      <x:c r="D67" s="45" t="str">
        <x:v>Transferir a contacto</x:v>
      </x:c>
      <x:c r="E67" s="45" t="str">
        <x:v>Iniciar transferencia usando un contacto guardado como destino.</x:v>
      </x:c>
      <x:c r="F67" s="45" t="str">
        <x:v>contactos, usuarios, cuentas, transacciones</x:v>
      </x:c>
      <x:c r="G67" s="45" t="str">
        <x:v>contactos.contacto_usuario_id, cuentas.usuario_id, transacciones.cuenta_destino_id, transacciones.monto_centavos</x:v>
      </x:c>
      <x:c r="H67" s="45" t="str">
        <x:v>Contacto debe estar activo y tener cuenta válida.</x:v>
      </x:c>
      <x:c r="I67" s="45" t="str">
        <x:v>Alta</x:v>
      </x:c>
      <x:c r="J67" s="45" t="str">
        <x:v>Si usuario destino tiene varias cuentas, definir cuenta predeterminada.</x:v>
      </x:c>
    </x:row>
    <x:row r="68" ht="60" customHeight="1">
      <x:c r="A68" s="45" t="n">
        <x:v>67</x:v>
      </x:c>
      <x:c r="B68" s="45" t="str">
        <x:v>RF67</x:v>
      </x:c>
      <x:c r="C68" s="45" t="str">
        <x:v>Dispositivos</x:v>
      </x:c>
      <x:c r="D68" s="45" t="str">
        <x:v>Registrar dispositivo</x:v>
      </x:c>
      <x:c r="E68" s="45" t="str">
        <x:v>Registrar el dispositivo usado por un usuario.</x:v>
      </x:c>
      <x:c r="F68" s="45" t="str">
        <x:v>dispositivos, usuarios</x:v>
      </x:c>
      <x:c r="G68" s="45" t="str">
        <x:v>dispositivos.usuario_id, dispositivos.token_dispositivo, dispositivos.tipo_os, dispositivos.nombre_dispositivo, dispositivos.activo, dispositivos.created_at</x:v>
      </x:c>
      <x:c r="H68" s="45" t="str">
        <x:v>Usuario debe existir; token único por dispositivo.</x:v>
      </x:c>
      <x:c r="I68" s="45" t="str">
        <x:v>Alta</x:v>
      </x:c>
      <x:c r="J68" s="45" t="str">
        <x:v>Necesario para seguridad y notificaciones.</x:v>
      </x:c>
    </x:row>
    <x:row r="69" ht="60" customHeight="1">
      <x:c r="A69" s="45" t="n">
        <x:v>68</x:v>
      </x:c>
      <x:c r="B69" s="45" t="str">
        <x:v>RF68</x:v>
      </x:c>
      <x:c r="C69" s="45" t="str">
        <x:v>Dispositivos</x:v>
      </x:c>
      <x:c r="D69" s="45" t="str">
        <x:v>Validar dispositivo activo</x:v>
      </x:c>
      <x:c r="E69" s="45" t="str">
        <x:v>Permitir operaciones solo desde dispositivos activos.</x:v>
      </x:c>
      <x:c r="F69" s="45" t="str">
        <x:v>dispositivos</x:v>
      </x:c>
      <x:c r="G69" s="45" t="str">
        <x:v>id, usuario_id, activo</x:v>
      </x:c>
      <x:c r="H69" s="45" t="str">
        <x:v>activo = 1.</x:v>
      </x:c>
      <x:c r="I69" s="45" t="str">
        <x:v>Alta</x:v>
      </x:c>
      <x:c r="J69" s="45" t="str">
        <x:v>Debe validarse antes de transacciones sensibles.</x:v>
      </x:c>
    </x:row>
    <x:row r="70" ht="60" customHeight="1">
      <x:c r="A70" s="45" t="n">
        <x:v>69</x:v>
      </x:c>
      <x:c r="B70" s="45" t="str">
        <x:v>RF69</x:v>
      </x:c>
      <x:c r="C70" s="45" t="str">
        <x:v>Dispositivos</x:v>
      </x:c>
      <x:c r="D70" s="45" t="str">
        <x:v>Listar dispositivos</x:v>
      </x:c>
      <x:c r="E70" s="45" t="str">
        <x:v>Mostrar dispositivos asociados al usuario.</x:v>
      </x:c>
      <x:c r="F70" s="45" t="str">
        <x:v>dispositivos</x:v>
      </x:c>
      <x:c r="G70" s="45" t="str">
        <x:v>id, usuario_id, tipo_os, nombre_dispositivo, activo, created_at</x:v>
      </x:c>
      <x:c r="H70" s="45" t="str">
        <x:v>Usuario solo ve sus propios dispositivos.</x:v>
      </x:c>
      <x:c r="I70" s="45" t="str">
        <x:v>Media</x:v>
      </x:c>
      <x:c r="J70" s="45" t="str">
        <x:v>Útil para seguridad del usuario.</x:v>
      </x:c>
    </x:row>
    <x:row r="71" ht="60" customHeight="1">
      <x:c r="A71" s="45" t="n">
        <x:v>70</x:v>
      </x:c>
      <x:c r="B71" s="45" t="str">
        <x:v>RF70</x:v>
      </x:c>
      <x:c r="C71" s="45" t="str">
        <x:v>Dispositivos</x:v>
      </x:c>
      <x:c r="D71" s="45" t="str">
        <x:v>Desactivar dispositivo</x:v>
      </x:c>
      <x:c r="E71" s="45" t="str">
        <x:v>Permitir cerrar sesión o desactivar un dispositivo.</x:v>
      </x:c>
      <x:c r="F71" s="45" t="str">
        <x:v>dispositivos</x:v>
      </x:c>
      <x:c r="G71" s="45" t="str">
        <x:v>id, usuario_id, activo</x:v>
      </x:c>
      <x:c r="H71" s="45" t="str">
        <x:v>Solo el usuario dueño o admin puede desactivar.</x:v>
      </x:c>
      <x:c r="I71" s="45" t="str">
        <x:v>Alta</x:v>
      </x:c>
      <x:c r="J71" s="45" t="str">
        <x:v>Falta tabla de sesiones para cierre real de sesión.</x:v>
      </x:c>
    </x:row>
    <x:row r="72" ht="60" customHeight="1">
      <x:c r="A72" s="45" t="n">
        <x:v>71</x:v>
      </x:c>
      <x:c r="B72" s="45" t="str">
        <x:v>RF71</x:v>
      </x:c>
      <x:c r="C72" s="45" t="str">
        <x:v>Dispositivos</x:v>
      </x:c>
      <x:c r="D72" s="45" t="str">
        <x:v>Detectar nuevo dispositivo</x:v>
      </x:c>
      <x:c r="E72" s="45" t="str">
        <x:v>Identificar accesos desde un dispositivo no registrado.</x:v>
      </x:c>
      <x:c r="F72" s="45" t="str">
        <x:v>dispositivos</x:v>
      </x:c>
      <x:c r="G72" s="45" t="str">
        <x:v>usuario_id, token_dispositivo, tipo_os, nombre_dispositivo</x:v>
      </x:c>
      <x:c r="H72" s="45" t="str">
        <x:v>Si token no existe para usuario, registrar o solicitar validación.</x:v>
      </x:c>
      <x:c r="I72" s="45" t="str">
        <x:v>Alta</x:v>
      </x:c>
      <x:c r="J72" s="45" t="str">
        <x:v>Debería disparar OTP/notificación.</x:v>
      </x:c>
    </x:row>
    <x:row r="73" ht="60" customHeight="1">
      <x:c r="A73" s="45" t="n">
        <x:v>72</x:v>
      </x:c>
      <x:c r="B73" s="45" t="str">
        <x:v>RF72</x:v>
      </x:c>
      <x:c r="C73" s="45" t="str">
        <x:v>Dispositivos</x:v>
      </x:c>
      <x:c r="D73" s="45" t="str">
        <x:v>Evitar duplicidad de dispositivo</x:v>
      </x:c>
      <x:c r="E73" s="45" t="str">
        <x:v>No registrar varias veces el mismo token de dispositivo.</x:v>
      </x:c>
      <x:c r="F73" s="45" t="str">
        <x:v>dispositivos</x:v>
      </x:c>
      <x:c r="G73" s="45" t="str">
        <x:v>token_dispositivo</x:v>
      </x:c>
      <x:c r="H73" s="45" t="str">
        <x:v>token_dispositivo debe ser único o único por usuario.</x:v>
      </x:c>
      <x:c r="I73" s="45" t="str">
        <x:v>Media</x:v>
      </x:c>
      <x:c r="J73" s="45" t="str">
        <x:v>Definir si un dispositivo puede usarse por varias cuentas.</x:v>
      </x:c>
    </x:row>
    <x:row r="74" ht="60" customHeight="1">
      <x:c r="A74" s="45" t="n">
        <x:v>73</x:v>
      </x:c>
      <x:c r="B74" s="45" t="str">
        <x:v>RF73</x:v>
      </x:c>
      <x:c r="C74" s="45" t="str">
        <x:v>Dispositivos</x:v>
      </x:c>
      <x:c r="D74" s="45" t="str">
        <x:v>Bloquear operación desde dispositivo inactivo</x:v>
      </x:c>
      <x:c r="E74" s="45" t="str">
        <x:v>Impedir pagos o transferencias desde dispositivos inactivos.</x:v>
      </x:c>
      <x:c r="F74" s="45" t="str">
        <x:v>dispositivos, transacciones, pagos_qr</x:v>
      </x:c>
      <x:c r="G74" s="45" t="str">
        <x:v>dispositivos.activo, transacciones.estado, pagos_qr.estado</x:v>
      </x:c>
      <x:c r="H74" s="45" t="str">
        <x:v>Si dispositivo inactivo, rechazar operación.</x:v>
      </x:c>
      <x:c r="I74" s="45" t="str">
        <x:v>Alta</x:v>
      </x:c>
      <x:c r="J74" s="45" t="str">
        <x:v>Regla importante antifraude.</x:v>
      </x:c>
    </x:row>
    <x:row r="75" ht="60" customHeight="1">
      <x:c r="A75" s="45" t="n">
        <x:v>74</x:v>
      </x:c>
      <x:c r="B75" s="45" t="str">
        <x:v>RF74</x:v>
      </x:c>
      <x:c r="C75" s="45" t="str">
        <x:v>Dispositivos</x:v>
      </x:c>
      <x:c r="D75" s="45" t="str">
        <x:v>Consultar fecha de vinculación</x:v>
      </x:c>
      <x:c r="E75" s="45" t="str">
        <x:v>Mostrar cuándo se registró un dispositivo.</x:v>
      </x:c>
      <x:c r="F75" s="45" t="str">
        <x:v>dispositivos</x:v>
      </x:c>
      <x:c r="G75" s="45" t="str">
        <x:v>id, usuario_id, created_at</x:v>
      </x:c>
      <x:c r="H75" s="45" t="str">
        <x:v>Dato solo informativo.</x:v>
      </x:c>
      <x:c r="I75" s="45" t="str">
        <x:v>Baja</x:v>
      </x:c>
      <x:c r="J75" s="45" t="str">
        <x:v>Ayuda a detectar accesos extraños.</x:v>
      </x:c>
    </x:row>
    <x:row r="76" ht="60" customHeight="1">
      <x:c r="A76" s="45" t="n">
        <x:v>75</x:v>
      </x:c>
      <x:c r="B76" s="45" t="str">
        <x:v>RF75</x:v>
      </x:c>
      <x:c r="C76" s="45" t="str">
        <x:v>Bancos</x:v>
      </x:c>
      <x:c r="D76" s="45" t="str">
        <x:v>Registrar banco</x:v>
      </x:c>
      <x:c r="E76" s="45" t="str">
        <x:v>Permitir registrar bancos disponibles en el sistema.</x:v>
      </x:c>
      <x:c r="F76" s="45" t="str">
        <x:v>bancos</x:v>
      </x:c>
      <x:c r="G76" s="45" t="str">
        <x:v>nombre, codigo_swift, estado, created_at</x:v>
      </x:c>
      <x:c r="H76" s="45" t="str">
        <x:v>Nombre/código no deberían duplicarse.</x:v>
      </x:c>
      <x:c r="I76" s="45" t="str">
        <x:v>Media</x:v>
      </x:c>
      <x:c r="J76" s="45" t="str">
        <x:v>Para Perú agregar codigo_sbs/codigo_banco.</x:v>
      </x:c>
    </x:row>
    <x:row r="77" ht="60" customHeight="1">
      <x:c r="A77" s="45" t="n">
        <x:v>76</x:v>
      </x:c>
      <x:c r="B77" s="45" t="str">
        <x:v>RF76</x:v>
      </x:c>
      <x:c r="C77" s="45" t="str">
        <x:v>Bancos</x:v>
      </x:c>
      <x:c r="D77" s="45" t="str">
        <x:v>Validar banco activo</x:v>
      </x:c>
      <x:c r="E77" s="45" t="str">
        <x:v>Permitir crear cuentas solo con bancos activos.</x:v>
      </x:c>
      <x:c r="F77" s="45" t="str">
        <x:v>bancos, cuentas</x:v>
      </x:c>
      <x:c r="G77" s="45" t="str">
        <x:v>bancos.id, bancos.estado, cuentas.banco_id</x:v>
      </x:c>
      <x:c r="H77" s="45" t="str">
        <x:v>bancos.estado = ACTIVO.</x:v>
      </x:c>
      <x:c r="I77" s="45" t="str">
        <x:v>Alta</x:v>
      </x:c>
      <x:c r="J77" s="45" t="str">
        <x:v>Evita cuentas en bancos deshabilitados.</x:v>
      </x:c>
    </x:row>
    <x:row r="78" ht="60" customHeight="1">
      <x:c r="A78" s="45" t="n">
        <x:v>77</x:v>
      </x:c>
      <x:c r="B78" s="45" t="str">
        <x:v>RF77</x:v>
      </x:c>
      <x:c r="C78" s="45" t="str">
        <x:v>Bancos</x:v>
      </x:c>
      <x:c r="D78" s="45" t="str">
        <x:v>Listar bancos activos</x:v>
      </x:c>
      <x:c r="E78" s="45" t="str">
        <x:v>Mostrar bancos disponibles para asociar cuentas.</x:v>
      </x:c>
      <x:c r="F78" s="45" t="str">
        <x:v>bancos</x:v>
      </x:c>
      <x:c r="G78" s="45" t="str">
        <x:v>id, nombre, codigo_swift, estado</x:v>
      </x:c>
      <x:c r="H78" s="45" t="str">
        <x:v>Listar solo estado ACTIVO.</x:v>
      </x:c>
      <x:c r="I78" s="45" t="str">
        <x:v>Media</x:v>
      </x:c>
      <x:c r="J78" s="45" t="str">
        <x:v>Catálogo simple.</x:v>
      </x:c>
    </x:row>
    <x:row r="79" ht="60" customHeight="1">
      <x:c r="A79" s="45" t="n">
        <x:v>78</x:v>
      </x:c>
      <x:c r="B79" s="45" t="str">
        <x:v>RF78</x:v>
      </x:c>
      <x:c r="C79" s="45" t="str">
        <x:v>Bancos</x:v>
      </x:c>
      <x:c r="D79" s="45" t="str">
        <x:v>Actualizar banco</x:v>
      </x:c>
      <x:c r="E79" s="45" t="str">
        <x:v>Permitir actualizar información de un banco.</x:v>
      </x:c>
      <x:c r="F79" s="45" t="str">
        <x:v>bancos</x:v>
      </x:c>
      <x:c r="G79" s="45" t="str">
        <x:v>id, nombre, codigo_swift, estado</x:v>
      </x:c>
      <x:c r="H79" s="45" t="str">
        <x:v>Solo administrador.</x:v>
      </x:c>
      <x:c r="I79" s="45" t="str">
        <x:v>Baja</x:v>
      </x:c>
      <x:c r="J79" s="45" t="str">
        <x:v>Falta updated_at en bancos.</x:v>
      </x:c>
    </x:row>
    <x:row r="80" ht="60" customHeight="1">
      <x:c r="A80" s="45" t="n">
        <x:v>79</x:v>
      </x:c>
      <x:c r="B80" s="45" t="str">
        <x:v>RF79</x:v>
      </x:c>
      <x:c r="C80" s="45" t="str">
        <x:v>Bancos</x:v>
      </x:c>
      <x:c r="D80" s="45" t="str">
        <x:v>Desactivar banco</x:v>
      </x:c>
      <x:c r="E80" s="45" t="str">
        <x:v>Deshabilitar banco para nuevas asociaciones.</x:v>
      </x:c>
      <x:c r="F80" s="45" t="str">
        <x:v>bancos</x:v>
      </x:c>
      <x:c r="G80" s="45" t="str">
        <x:v>id, estado</x:v>
      </x:c>
      <x:c r="H80" s="45" t="str">
        <x:v>No necesariamente afecta cuentas existentes.</x:v>
      </x:c>
      <x:c r="I80" s="45" t="str">
        <x:v>Media</x:v>
      </x:c>
      <x:c r="J80" s="45" t="str">
        <x:v>Regla debe definirse: bloquear nuevas cuentas o también operaciones.</x:v>
      </x:c>
    </x:row>
    <x:row r="81" ht="60" customHeight="1">
      <x:c r="A81" s="45" t="n">
        <x:v>80</x:v>
      </x:c>
      <x:c r="B81" s="45" t="str">
        <x:v>RF80</x:v>
      </x:c>
      <x:c r="C81" s="45" t="str">
        <x:v>Bancos</x:v>
      </x:c>
      <x:c r="D81" s="45" t="str">
        <x:v>Consultar cuentas por banco</x:v>
      </x:c>
      <x:c r="E81" s="45" t="str">
        <x:v>Mostrar cuentas asociadas a un banco específico.</x:v>
      </x:c>
      <x:c r="F81" s="45" t="str">
        <x:v>bancos, cuentas</x:v>
      </x:c>
      <x:c r="G81" s="45" t="str">
        <x:v>bancos.id, cuentas.banco_id, cuentas.usuario_id, cuentas.estado</x:v>
      </x:c>
      <x:c r="H81" s="45" t="str">
        <x:v>Consulta administrativa.</x:v>
      </x:c>
      <x:c r="I81" s="45" t="str">
        <x:v>Baja</x:v>
      </x:c>
      <x:c r="J81" s="45" t="str">
        <x:v>Debe paginarse y proteger datos personales.</x:v>
      </x:c>
    </x:row>
  </x:sheetData>
  <x:conditionalFormatting sqref="I2:I81">
    <x:cfRule type="expression" dxfId="0" priority="1">
      <x:formula>I2="Alta"</x:formula>
    </x:cfRule>
    <x:cfRule type="expression" dxfId="1" priority="2">
      <x:formula>I2="Media"</x:formula>
    </x:cfRule>
    <x:cfRule type="expression" dxfId="2" priority="3">
      <x:formula>I2="Baja"</x:formula>
    </x:cfRule>
  </x:conditionalFormatting>
  <x:dataValidations count="1">
    <x:dataValidation type="list" sqref="I2:I81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3bef9a8b704c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2" t="str">
        <x:v>Resumen de requerimientos funcionales del modelo tipo Yape</x:v>
      </x:c>
      <x:c r="B1" s="49"/>
      <x:c r="C1" s="49"/>
      <x:c r="D1" s="49"/>
      <x:c r="E1" s="49"/>
      <x:c r="F1" s="49"/>
      <x:c r="G1" s="49"/>
      <x:c r="H1" s="49"/>
    </x:row>
    <x:row r="2">
      <x:c r="A2" s="49"/>
      <x:c r="B2" s="49"/>
      <x:c r="C2" s="49"/>
      <x:c r="D2" s="49"/>
      <x:c r="E2" s="49"/>
      <x:c r="F2" s="49"/>
      <x:c r="G2" s="49"/>
      <x:c r="H2" s="49"/>
    </x:row>
    <x:row r="3">
      <x:c r="A3" s="50" t="str">
        <x:v>Fecha de generación</x:v>
      </x:c>
      <x:c r="B3" s="51" t="n">
        <x:v>46149.6378749537</x:v>
      </x:c>
      <x:c r="C3" s="49"/>
      <x:c r="D3" s="52" t="str">
        <x:v>Módulo</x:v>
      </x:c>
      <x:c r="E3" s="52" t="str">
        <x:v>Cantidad RF</x:v>
      </x:c>
      <x:c r="F3" s="52" t="str">
        <x:v>Prioridad Alta</x:v>
      </x:c>
      <x:c r="G3" s="52" t="str">
        <x:v>Prioridad Media</x:v>
      </x:c>
      <x:c r="H3" s="52" t="str">
        <x:v>Prioridad Baja</x:v>
      </x:c>
    </x:row>
    <x:row r="4">
      <x:c r="A4" s="50" t="str">
        <x:v>Total RF</x:v>
      </x:c>
      <x:c r="B4" s="53" t="n">
        <x:f>COUNTA('RF 1-80'!B2:B81)</x:f>
        <x:v>80</x:v>
      </x:c>
      <x:c r="C4" s="49"/>
      <x:c r="D4" s="53" t="str">
        <x:v>Usuarios</x:v>
      </x:c>
      <x:c r="E4" s="53" t="n">
        <x:v>10</x:v>
      </x:c>
      <x:c r="F4" s="53" t="n">
        <x:v>6</x:v>
      </x:c>
      <x:c r="G4" s="53" t="n">
        <x:v>3</x:v>
      </x:c>
      <x:c r="H4" s="53" t="n">
        <x:v>1</x:v>
      </x:c>
    </x:row>
    <x:row r="5">
      <x:c r="A5" s="50" t="str">
        <x:v>RF de prioridad Alta</x:v>
      </x:c>
      <x:c r="B5" s="53" t="n">
        <x:f>COUNTIF('RF 1-80'!I2:I81,"Alta")</x:f>
        <x:v>41</x:v>
      </x:c>
      <x:c r="C5" s="49"/>
      <x:c r="D5" s="53" t="str">
        <x:v>Cuentas</x:v>
      </x:c>
      <x:c r="E5" s="53" t="n">
        <x:v>10</x:v>
      </x:c>
      <x:c r="F5" s="53" t="n">
        <x:v>8</x:v>
      </x:c>
      <x:c r="G5" s="53" t="n">
        <x:v>1</x:v>
      </x:c>
      <x:c r="H5" s="53" t="n">
        <x:v>1</x:v>
      </x:c>
    </x:row>
    <x:row r="6">
      <x:c r="A6" s="50" t="str">
        <x:v>RF de prioridad Media</x:v>
      </x:c>
      <x:c r="B6" s="53" t="n">
        <x:f>COUNTIF('RF 1-80'!I2:I81,"Media")</x:f>
        <x:v>28</x:v>
      </x:c>
      <x:c r="C6" s="49"/>
      <x:c r="D6" s="53" t="str">
        <x:v>Transacciones</x:v>
      </x:c>
      <x:c r="E6" s="53" t="n">
        <x:v>16</x:v>
      </x:c>
      <x:c r="F6" s="53" t="n">
        <x:v>9</x:v>
      </x:c>
      <x:c r="G6" s="53" t="n">
        <x:v>6</x:v>
      </x:c>
      <x:c r="H6" s="53" t="n">
        <x:v>1</x:v>
      </x:c>
    </x:row>
    <x:row r="7">
      <x:c r="A7" s="50" t="str">
        <x:v>RF de prioridad Baja</x:v>
      </x:c>
      <x:c r="B7" s="53" t="n">
        <x:f>COUNTIF('RF 1-80'!I2:I81,"Baja")</x:f>
        <x:v>11</x:v>
      </x:c>
      <x:c r="C7" s="49"/>
      <x:c r="D7" s="53" t="str">
        <x:v>Pagos QR</x:v>
      </x:c>
      <x:c r="E7" s="53" t="n">
        <x:v>10</x:v>
      </x:c>
      <x:c r="F7" s="53" t="n">
        <x:v>6</x:v>
      </x:c>
      <x:c r="G7" s="53" t="n">
        <x:v>4</x:v>
      </x:c>
      <x:c r="H7" s="53" t="n">
        <x:v>0</x:v>
      </x:c>
    </x:row>
    <x:row r="8">
      <x:c r="A8" s="49"/>
      <x:c r="B8" s="49"/>
      <x:c r="C8" s="49"/>
      <x:c r="D8" s="53" t="str">
        <x:v>Comercios</x:v>
      </x:c>
      <x:c r="E8" s="53" t="n">
        <x:v>10</x:v>
      </x:c>
      <x:c r="F8" s="53" t="n">
        <x:v>5</x:v>
      </x:c>
      <x:c r="G8" s="53" t="n">
        <x:v>4</x:v>
      </x:c>
      <x:c r="H8" s="53" t="n">
        <x:v>1</x:v>
      </x:c>
    </x:row>
    <x:row r="9">
      <x:c r="A9" s="49"/>
      <x:c r="B9" s="49"/>
      <x:c r="C9" s="49"/>
      <x:c r="D9" s="53" t="str">
        <x:v>Contactos</x:v>
      </x:c>
      <x:c r="E9" s="53" t="n">
        <x:v>10</x:v>
      </x:c>
      <x:c r="F9" s="53" t="n">
        <x:v>1</x:v>
      </x:c>
      <x:c r="G9" s="53" t="n">
        <x:v>5</x:v>
      </x:c>
      <x:c r="H9" s="53" t="n">
        <x:v>4</x:v>
      </x:c>
    </x:row>
    <x:row r="10">
      <x:c r="A10" s="49"/>
      <x:c r="B10" s="49"/>
      <x:c r="C10" s="49"/>
      <x:c r="D10" s="53" t="str">
        <x:v>Dispositivos</x:v>
      </x:c>
      <x:c r="E10" s="53" t="n">
        <x:v>8</x:v>
      </x:c>
      <x:c r="F10" s="53" t="n">
        <x:v>5</x:v>
      </x:c>
      <x:c r="G10" s="53" t="n">
        <x:v>2</x:v>
      </x:c>
      <x:c r="H10" s="53" t="n">
        <x:v>1</x:v>
      </x:c>
    </x:row>
    <x:row r="11">
      <x:c r="A11" s="49"/>
      <x:c r="B11" s="49"/>
      <x:c r="C11" s="49"/>
      <x:c r="D11" s="53" t="str">
        <x:v>Bancos</x:v>
      </x:c>
      <x:c r="E11" s="53" t="n">
        <x:v>6</x:v>
      </x:c>
      <x:c r="F11" s="53" t="n">
        <x:v>1</x:v>
      </x:c>
      <x:c r="G11" s="53" t="n">
        <x:v>3</x:v>
      </x:c>
      <x:c r="H11" s="53" t="n">
        <x:v>2</x:v>
      </x:c>
    </x:row>
    <x:row r="12">
      <x:c r="A12" s="49"/>
      <x:c r="B12" s="49"/>
      <x:c r="C12" s="49"/>
      <x:c r="D12" s="49"/>
      <x:c r="E12" s="49"/>
      <x:c r="F12" s="49"/>
      <x:c r="G12" s="49"/>
      <x:c r="H12" s="49"/>
    </x:row>
    <x:row r="13">
      <x:c r="A13" s="49"/>
      <x:c r="B13" s="49"/>
      <x:c r="C13" s="49"/>
      <x:c r="D13" s="49"/>
      <x:c r="E13" s="49"/>
      <x:c r="F13" s="49"/>
      <x:c r="G13" s="49"/>
      <x:c r="H13" s="49"/>
    </x:row>
    <x:row r="14">
      <x:c r="A14" s="49"/>
      <x:c r="B14" s="49"/>
      <x:c r="C14" s="49"/>
      <x:c r="D14" s="49"/>
      <x:c r="E14" s="49"/>
      <x:c r="F14" s="49"/>
      <x:c r="G14" s="49"/>
      <x:c r="H14" s="49"/>
    </x:row>
    <x:row r="15">
      <x:c r="A15" s="49"/>
      <x:c r="B15" s="49"/>
      <x:c r="C15" s="49"/>
      <x:c r="D15" s="49"/>
      <x:c r="E15" s="49"/>
      <x:c r="F15" s="49"/>
      <x:c r="G15" s="49"/>
      <x:c r="H15" s="49"/>
    </x:row>
    <x:row r="16">
      <x:c r="A16" s="49"/>
      <x:c r="B16" s="49"/>
      <x:c r="C16" s="49"/>
      <x:c r="D16" s="49"/>
      <x:c r="E16" s="49"/>
      <x:c r="F16" s="49"/>
      <x:c r="G16" s="49"/>
      <x:c r="H16" s="49"/>
    </x:row>
    <x:row r="17">
      <x:c r="A17" s="49"/>
      <x:c r="B17" s="49"/>
      <x:c r="C17" s="49"/>
      <x:c r="D17" s="49"/>
      <x:c r="E17" s="49"/>
      <x:c r="F17" s="49"/>
      <x:c r="G17" s="49"/>
      <x:c r="H17" s="49"/>
    </x:row>
    <x:row r="18">
      <x:c r="A18" s="49"/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>
      <x:c r="A21" s="49"/>
      <x:c r="B21" s="49"/>
      <x:c r="C21" s="49"/>
      <x:c r="D21" s="49"/>
      <x:c r="E21" s="49"/>
      <x:c r="F21" s="49"/>
      <x:c r="G21" s="49"/>
      <x:c r="H21" s="49"/>
    </x:row>
    <x:row r="22">
      <x:c r="A22" s="49"/>
      <x:c r="B22" s="49"/>
      <x:c r="C22" s="49"/>
      <x:c r="D22" s="49"/>
      <x:c r="E22" s="49"/>
      <x:c r="F22" s="49"/>
      <x:c r="G22" s="49"/>
      <x:c r="H22" s="49"/>
    </x:row>
    <x:row r="23">
      <x:c r="A23" s="49"/>
      <x:c r="B23" s="49"/>
      <x:c r="C23" s="49"/>
      <x:c r="D23" s="49"/>
      <x:c r="E23" s="49"/>
      <x:c r="F23" s="49"/>
      <x:c r="G23" s="49"/>
      <x:c r="H23" s="49"/>
    </x:row>
    <x:row r="24">
      <x:c r="A24" s="49"/>
      <x:c r="B24" s="49"/>
      <x:c r="C24" s="49"/>
      <x:c r="D24" s="49"/>
      <x:c r="E24" s="49"/>
      <x:c r="F24" s="49"/>
      <x:c r="G24" s="49"/>
      <x:c r="H24" s="49"/>
    </x:row>
    <x:row r="25">
      <x:c r="A25" s="49"/>
      <x:c r="B25" s="49"/>
      <x:c r="C25" s="49"/>
      <x:c r="D25" s="49"/>
      <x:c r="E25" s="49"/>
      <x:c r="F25" s="49"/>
      <x:c r="G25" s="49"/>
      <x:c r="H25" s="49"/>
    </x:row>
    <x:row r="26">
      <x:c r="A26" s="49"/>
      <x:c r="B26" s="49"/>
      <x:c r="C26" s="49"/>
      <x:c r="D26" s="49"/>
      <x:c r="E26" s="49"/>
      <x:c r="F26" s="49"/>
      <x:c r="G26" s="49"/>
      <x:c r="H26" s="49"/>
    </x:row>
    <x:row r="27">
      <x:c r="A27" s="49"/>
      <x:c r="B27" s="49"/>
      <x:c r="C27" s="49"/>
      <x:c r="D27" s="49"/>
      <x:c r="E27" s="49"/>
      <x:c r="F27" s="49"/>
      <x:c r="G27" s="49"/>
      <x:c r="H27" s="49"/>
    </x:row>
    <x:row r="28">
      <x:c r="A28" s="49"/>
      <x:c r="B28" s="49"/>
      <x:c r="C28" s="49"/>
      <x:c r="D28" s="49"/>
      <x:c r="E28" s="49"/>
      <x:c r="F28" s="49"/>
      <x:c r="G28" s="49"/>
      <x:c r="H28" s="49"/>
    </x:row>
    <x:row r="29">
      <x:c r="A29" s="49"/>
      <x:c r="B29" s="49"/>
      <x:c r="C29" s="49"/>
      <x:c r="D29" s="49"/>
      <x:c r="E29" s="49"/>
      <x:c r="F29" s="49"/>
      <x:c r="G29" s="49"/>
      <x:c r="H29" s="49"/>
    </x:row>
    <x:row r="30">
      <x:c r="A30" s="54" t="str">
        <x:v>Criterio senior: para un documento académico, 80 RF es el máximo razonable. Los más críticos están marcados como Alta. El modelo actual cubre el flujo base, pero necesita reforzar autenticación, auditoría, ledger y relación comercio-cuenta para ser defendible como sistema financiero.</x:v>
      </x:c>
      <x:c r="B30" s="49"/>
      <x:c r="C30" s="49"/>
      <x:c r="D30" s="49"/>
      <x:c r="E30" s="49"/>
      <x:c r="F30" s="49"/>
      <x:c r="G30" s="49"/>
      <x:c r="H30" s="49"/>
    </x:row>
    <x:row r="31">
      <x:c r="A31" s="49"/>
      <x:c r="B31" s="49"/>
      <x:c r="C31" s="49"/>
      <x:c r="D31" s="49"/>
      <x:c r="E31" s="49"/>
      <x:c r="F31" s="49"/>
      <x:c r="G31" s="49"/>
      <x:c r="H31" s="49"/>
    </x:row>
    <x:row r="32">
      <x:c r="A32" s="49"/>
      <x:c r="B32" s="49"/>
      <x:c r="C32" s="49"/>
      <x:c r="D32" s="49"/>
      <x:c r="E32" s="49"/>
      <x:c r="F32" s="49"/>
      <x:c r="G32" s="49"/>
      <x:c r="H32" s="49"/>
    </x:row>
    <x:row r="33">
      <x:c r="A33" s="49"/>
      <x:c r="B33" s="49"/>
      <x:c r="C33" s="49"/>
      <x:c r="D33" s="49"/>
      <x:c r="E33" s="49"/>
      <x:c r="F33" s="49"/>
      <x:c r="G33" s="49"/>
      <x:c r="H33" s="49"/>
    </x:row>
    <x:row r="34">
      <x:c r="A34" s="49"/>
      <x:c r="B34" s="49"/>
      <x:c r="C34" s="49"/>
      <x:c r="D34" s="49"/>
      <x:c r="E34" s="49"/>
      <x:c r="F34" s="49"/>
      <x:c r="G34" s="49"/>
      <x:c r="H34" s="49"/>
    </x:row>
  </x:sheetData>
  <x:mergeCells>
    <x:mergeCell ref="A1:H1"/>
    <x:mergeCell ref="A30:H34"/>
  </x:mergeCells>
  <x:pageMargins left="0.7" right="0.7" top="0.75" bottom="0.75" header="0.3" footer="0.3"/>
  <x:drawing xmlns:r="http://schemas.openxmlformats.org/officeDocument/2006/relationships" r:id="R22bbe8a2f37a4a0c"/>
  <x:tableParts count="1">
    <x:tablePart xmlns:r="http://schemas.openxmlformats.org/officeDocument/2006/relationships" r:id="Rf4db0fbed58643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42" hidden="0" customWidth="1"/>
    <x:col min="4" max="4" width="50" hidden="0" customWidth="1"/>
  </x:cols>
  <x:sheetData>
    <x:row r="1">
      <x:c r="A1" s="52" t="str">
        <x:v>Tabla</x:v>
      </x:c>
      <x:c r="B1" s="52" t="str">
        <x:v>Columnas usadas en RF</x:v>
      </x:c>
      <x:c r="C1" s="52" t="str">
        <x:v>RF relacionados</x:v>
      </x:c>
      <x:c r="D1" s="52" t="str">
        <x:v>Comentario</x:v>
      </x:c>
    </x:row>
    <x:row r="2">
      <x:c r="A2" s="45" t="str">
        <x:v>usuarios</x:v>
      </x:c>
      <x:c r="B2" s="45" t="str">
        <x:v>apellidos, contactos.alias, contactos.contacto_usuario_id, contactos.es_favorito, contactos.usuario_id, created_at, cuentas.banco_id, cuentas.created_at, cuentas.estado, cuentas.limite_diario_centavos, cuentas.numero_cuenta_enmascarado, cuentas.saldo_centavos, cuentas.usuario_id, dispositivos.activo, dispositivos.created_at, dispositivos.nombre_dispositivo, dispositivos.tipo_os, dispositivos.token_dispositivo, dispositivos.usuario_id, dni, email, estado, fecha_nacimiento, id, nombres, telefono, transacciones.cuenta_destino_id, transacciones.monto_centavos, updated_at, usuarios.apellidos, usuarios.id, usuarios.nombres, usuarios.telefono</x:v>
      </x:c>
      <x:c r="C2" s="45" t="str">
        <x:v>RF01, RF02, RF03, RF04, RF05, RF06, RF07, RF08, RF09, RF10, RF11, RF57, RF60, RF66, RF67</x:v>
      </x:c>
      <x:c r="D2" s="45" t="str">
        <x:v>Base del registro, validaciones de identidad y búsqueda por teléfono.</x:v>
      </x:c>
    </x:row>
    <x:row r="3">
      <x:c r="A3" s="45" t="str">
        <x:v>cuentas</x:v>
      </x:c>
      <x:c r="B3" s="45" t="str">
        <x:v>banco_id, bancos.codigo_swift, bancos.estado, bancos.id, bancos.nombre, comercios.id, contactos.contacto_usuario_id, cuentas.banco_id, cuentas.created_at, cuentas.estado, cuentas.id, cuentas.limite_diario_centavos, cuentas.numero_cuenta_enmascarado, cuentas.saldo_centavos, cuentas.usuario_id, estado, id, limite_diario_centavos, numero_cuenta_enmascarado, pagos_qr.estado, pagos_qr.transaccion_id, saldo_centavos, transacciones.created_at, transacciones.cuenta_destino_id, transacciones.cuenta_origen_id, transacciones.descripcion, transacciones.estado, transacciones.id, transacciones.monto_centavos, updated_at, usuario_id</x:v>
      </x:c>
      <x:c r="C3" s="45" t="str">
        <x:v>RF11, RF12, RF13, RF14, RF15, RF16, RF17, RF18, RF19, RF20, RF23, RF24, RF31, RF33, RF34, RF41, RF66, RF76, RF80</x:v>
      </x:c>
      <x:c r="D3" s="45" t="str">
        <x:v>Núcleo financiero: saldo, límite, banco y estado de operación.</x:v>
      </x:c>
    </x:row>
    <x:row r="4">
      <x:c r="A4" s="45" t="str">
        <x:v>transacciones</x:v>
      </x:c>
      <x:c r="B4" s="45" t="str">
        <x:v>comercios.id, contactos.contacto_usuario_id, created_at, cuenta_destino_id, cuenta_origen_id, cuentas.estado, cuentas.id, cuentas.limite_diario_centavos, cuentas.saldo_centavos, cuentas.usuario_id, descripcion, dispositivos.activo, estado, id, monto_centavos, pagos_qr.comercio_id, pagos_qr.estado, pagos_qr.transaccion_id, referencia_externa, tipo, transacciones.created_at, transacciones.cuenta_destino_id, transacciones.cuenta_origen_id, transacciones.descripcion, transacciones.estado, transacciones.id, transacciones.monto_centavos</x:v>
      </x:c>
      <x:c r="C4" s="45" t="str">
        <x:v>RF16, RF21, RF22, RF23, RF24, RF25, RF26, RF27, RF28, RF29, RF30, RF31, RF32, RF33, RF34, RF35, RF36, RF41, RF42, RF46, RF54, RF55, RF66, RF73</x:v>
      </x:c>
      <x:c r="D4" s="45" t="str">
        <x:v>Registro principal de operaciones; requiere controles de integridad.</x:v>
      </x:c>
    </x:row>
    <x:row r="5">
      <x:c r="A5" s="45" t="str">
        <x:v>pagos_qr</x:v>
      </x:c>
      <x:c r="B5" s="45" t="str">
        <x:v>codigo_qr, comercio_id, comercios.estado, comercios.id, cuentas.saldo_centavos, dispositivos.activo, estado, expira_en, id, monto_centavos, pagos_qr.codigo_qr, pagos_qr.comercio_id, pagos_qr.created_at, pagos_qr.estado, pagos_qr.expira_en, pagos_qr.monto_centavos, pagos_qr.transaccion_id, transacciones.created_at, transacciones.estado, transacciones.id, transacciones.monto_centavos</x:v>
      </x:c>
      <x:c r="C5" s="45" t="str">
        <x:v>RF37, RF38, RF39, RF40, RF41, RF42, RF43, RF44, RF45, RF46, RF54, RF55, RF56, RF73</x:v>
      </x:c>
      <x:c r="D5" s="45" t="str">
        <x:v>Soporte para cobros comerciales mediante QR.</x:v>
      </x:c>
    </x:row>
    <x:row r="6">
      <x:c r="A6" s="45" t="str">
        <x:v>comercios</x:v>
      </x:c>
      <x:c r="B6" s="45" t="str">
        <x:v>categoria, comercios.estado, comercios.id, created_at, cuentas.saldo_centavos, estado, id, nombre_comercial, pagos_qr.codigo_qr, pagos_qr.comercio_id, pagos_qr.created_at, pagos_qr.estado, pagos_qr.expira_en, pagos_qr.monto_centavos, pagos_qr.transaccion_id, razon_social, ruc, transacciones.created_at, transacciones.estado, transacciones.id, transacciones.monto_centavos</x:v>
      </x:c>
      <x:c r="C6" s="45" t="str">
        <x:v>RF37, RF41, RF45, RF46, RF47, RF48, RF49, RF50, RF51, RF52, RF53, RF54, RF55, RF56</x:v>
      </x:c>
      <x:c r="D6" s="45" t="str">
        <x:v>Catálogo de comercios; falta cuenta receptora y updated_at.</x:v>
      </x:c>
    </x:row>
    <x:row r="7">
      <x:c r="A7" s="45" t="str">
        <x:v>contactos</x:v>
      </x:c>
      <x:c r="B7" s="45" t="str">
        <x:v>alias, contacto_usuario_id, contactos.alias, contactos.contacto_usuario_id, contactos.es_favorito, contactos.usuario_id, cuentas.usuario_id, es_favorito, id, transacciones.cuenta_destino_id, transacciones.monto_centavos, usuario_id, usuarios.apellidos, usuarios.id, usuarios.nombres, usuarios.telefono</x:v>
      </x:c>
      <x:c r="C7" s="45" t="str">
        <x:v>RF57, RF58, RF59, RF60, RF61, RF62, RF63, RF64, RF65, RF66</x:v>
      </x:c>
      <x:c r="D7" s="45" t="str">
        <x:v>Agenda interna para transferencias rápidas.</x:v>
      </x:c>
    </x:row>
    <x:row r="8">
      <x:c r="A8" s="45" t="str">
        <x:v>dispositivos</x:v>
      </x:c>
      <x:c r="B8" s="45" t="str">
        <x:v>activo, created_at, dispositivos.activo, dispositivos.created_at, dispositivos.nombre_dispositivo, dispositivos.tipo_os, dispositivos.token_dispositivo, dispositivos.usuario_id, id, nombre_dispositivo, pagos_qr.estado, tipo_os, token_dispositivo, transacciones.estado, usuario_id</x:v>
      </x:c>
      <x:c r="C8" s="45" t="str">
        <x:v>RF67, RF68, RF69, RF70, RF71, RF72, RF73, RF74</x:v>
      </x:c>
      <x:c r="D8" s="45" t="str">
        <x:v>Seguridad por dispositivo; falta relación con sesiones reales.</x:v>
      </x:c>
    </x:row>
    <x:row r="9">
      <x:c r="A9" s="45" t="str">
        <x:v>bancos</x:v>
      </x:c>
      <x:c r="B9" s="45" t="str">
        <x:v>bancos.codigo_swift, bancos.estado, bancos.id, bancos.nombre, codigo_swift, created_at, cuentas.banco_id, cuentas.created_at, cuentas.estado, cuentas.id, cuentas.limite_diario_centavos, cuentas.numero_cuenta_enmascarado, cuentas.saldo_centavos, cuentas.usuario_id, estado, id, nombre</x:v>
      </x:c>
      <x:c r="C9" s="45" t="str">
        <x:v>RF11, RF19, RF20, RF75, RF76, RF77, RF78, RF79, RF80</x:v>
      </x:c>
      <x:c r="D9" s="45" t="str">
        <x:v>Catálogo bancario; para Perú conviene código SBS/código banco.</x:v>
      </x:c>
    </x:row>
  </x:sheetData>
  <x:pageMargins left="0.7" right="0.7" top="0.75" bottom="0.75" header="0.3" footer="0.3"/>
  <x:tableParts count="1">
    <x:tablePart xmlns:r="http://schemas.openxmlformats.org/officeDocument/2006/relationships" r:id="Rcdf5fa2c5f814c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48" hidden="0" customWidth="1"/>
    <x:col min="4" max="4" width="24" hidden="0" customWidth="1"/>
    <x:col min="5" max="5" width="48" hidden="0" customWidth="1"/>
    <x:col min="6" max="6" width="12" hidden="0" customWidth="1"/>
  </x:cols>
  <x:sheetData>
    <x:row r="1">
      <x:c r="A1" s="52" t="str">
        <x:v>N°</x:v>
      </x:c>
      <x:c r="B1" s="52" t="str">
        <x:v>Faltante crítico</x:v>
      </x:c>
      <x:c r="C1" s="52" t="str">
        <x:v>Por qué importa</x:v>
      </x:c>
      <x:c r="D1" s="52" t="str">
        <x:v>Tabla sugerida</x:v>
      </x:c>
      <x:c r="E1" s="52" t="str">
        <x:v>Impacto si no existe</x:v>
      </x:c>
      <x:c r="F1" s="52" t="str">
        <x:v>Prioridad</x:v>
      </x:c>
    </x:row>
    <x:row r="2">
      <x:c r="A2" s="45" t="n">
        <x:v>1</x:v>
      </x:c>
      <x:c r="B2" s="45" t="str">
        <x:v>Autenticación / credenciales</x:v>
      </x:c>
      <x:c r="C2" s="45" t="str">
        <x:v>Permite login seguro y manejo de contraseñas hasheadas.</x:v>
      </x:c>
      <x:c r="D2" s="45" t="str">
        <x:v>auth_credenciales</x:v>
      </x:c>
      <x:c r="E2" s="45" t="str">
        <x:v>No se puede implementar inicio de sesión real con seguridad.</x:v>
      </x:c>
      <x:c r="F2" s="45" t="str">
        <x:v>Alta</x:v>
      </x:c>
    </x:row>
    <x:row r="3">
      <x:c r="A3" s="45" t="n">
        <x:v>2</x:v>
      </x:c>
      <x:c r="B3" s="45" t="str">
        <x:v>Sesiones / refresh tokens</x:v>
      </x:c>
      <x:c r="C3" s="45" t="str">
        <x:v>Permite cerrar sesión, revocar accesos y vincular sesiones a dispositivos.</x:v>
      </x:c>
      <x:c r="D3" s="45" t="str">
        <x:v>sesiones</x:v>
      </x:c>
      <x:c r="E3" s="45" t="str">
        <x:v>Un dispositivo desactivado no cerraría una sesión ya emitida.</x:v>
      </x:c>
      <x:c r="F3" s="45" t="str">
        <x:v>Alta</x:v>
      </x:c>
    </x:row>
    <x:row r="4">
      <x:c r="A4" s="45" t="n">
        <x:v>3</x:v>
      </x:c>
      <x:c r="B4" s="45" t="str">
        <x:v>Ledger o movimientos de cuenta</x:v>
      </x:c>
      <x:c r="C4" s="45" t="str">
        <x:v>Guarda débito/crédito y saldo anterior/posterior por operación.</x:v>
      </x:c>
      <x:c r="D4" s="45" t="str">
        <x:v>movimientos_cuenta</x:v>
      </x:c>
      <x:c r="E4" s="45" t="str">
        <x:v>No hay trazabilidad contable fuerte del saldo.</x:v>
      </x:c>
      <x:c r="F4" s="45" t="str">
        <x:v>Alta</x:v>
      </x:c>
    </x:row>
    <x:row r="5">
      <x:c r="A5" s="45" t="n">
        <x:v>4</x:v>
      </x:c>
      <x:c r="B5" s="45" t="str">
        <x:v>Auditoría de eventos</x:v>
      </x:c>
      <x:c r="C5" s="45" t="str">
        <x:v>Registra acciones sensibles del usuario/admin.</x:v>
      </x:c>
      <x:c r="D5" s="45" t="str">
        <x:v>auditoria_eventos</x:v>
      </x:c>
      <x:c r="E5" s="45" t="str">
        <x:v>No se puede investigar fraude o cambios indebidos.</x:v>
      </x:c>
      <x:c r="F5" s="45" t="str">
        <x:v>Alta</x:v>
      </x:c>
    </x:row>
    <x:row r="6">
      <x:c r="A6" s="45" t="n">
        <x:v>5</x:v>
      </x:c>
      <x:c r="B6" s="45" t="str">
        <x:v>Notificaciones</x:v>
      </x:c>
      <x:c r="C6" s="45" t="str">
        <x:v>Permite avisar pagos, transferencias y accesos nuevos.</x:v>
      </x:c>
      <x:c r="D6" s="45" t="str">
        <x:v>notificaciones</x:v>
      </x:c>
      <x:c r="E6" s="45" t="str">
        <x:v>La experiencia y seguridad del usuario quedan incompletas.</x:v>
      </x:c>
      <x:c r="F6" s="45" t="str">
        <x:v>Media</x:v>
      </x:c>
    </x:row>
    <x:row r="7">
      <x:c r="A7" s="45" t="n">
        <x:v>6</x:v>
      </x:c>
      <x:c r="B7" s="45" t="str">
        <x:v>OTP / códigos de verificación</x:v>
      </x:c>
      <x:c r="C7" s="45" t="str">
        <x:v>Permite validar teléfono, operaciones sensibles o nuevo dispositivo.</x:v>
      </x:c>
      <x:c r="D7" s="45" t="str">
        <x:v>otp_codigos</x:v>
      </x:c>
      <x:c r="E7" s="45" t="str">
        <x:v>Flujos de seguridad quedan débiles.</x:v>
      </x:c>
      <x:c r="F7" s="45" t="str">
        <x:v>Alta</x:v>
      </x:c>
    </x:row>
    <x:row r="8">
      <x:c r="A8" s="45" t="n">
        <x:v>7</x:v>
      </x:c>
      <x:c r="B8" s="45" t="str">
        <x:v>Relación comercio-cuenta</x:v>
      </x:c>
      <x:c r="C8" s="45" t="str">
        <x:v>Define a qué cuenta se abona el dinero del comercio.</x:v>
      </x:c>
      <x:c r="D8" s="45" t="str">
        <x:v>comercio_cuentas</x:v>
      </x:c>
      <x:c r="E8" s="45" t="str">
        <x:v>El pago QR no tiene destino financiero claro.</x:v>
      </x:c>
      <x:c r="F8" s="45" t="str">
        <x:v>Alta</x:v>
      </x:c>
    </x:row>
    <x:row r="9">
      <x:c r="A9" s="45" t="n">
        <x:v>8</x:v>
      </x:c>
      <x:c r="B9" s="45" t="str">
        <x:v>Intentos de login</x:v>
      </x:c>
      <x:c r="C9" s="45" t="str">
        <x:v>Permite detectar fuerza bruta y bloquear accesos sospechosos.</x:v>
      </x:c>
      <x:c r="D9" s="45" t="str">
        <x:v>intentos_login</x:v>
      </x:c>
      <x:c r="E9" s="45" t="str">
        <x:v>No hay control fino contra ataques de acceso.</x:v>
      </x:c>
      <x:c r="F9" s="45" t="str">
        <x:v>Media</x:v>
      </x:c>
    </x:row>
  </x:sheetData>
  <x:conditionalFormatting sqref="F2:F9">
    <x:cfRule type="expression" dxfId="3" priority="1">
      <x:formula>F2="Alta"</x:formula>
    </x:cfRule>
    <x:cfRule type="expression" dxfId="4" priority="2">
      <x:formula>F2="Media"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ad642f03a540df"/>
  </x:tableParts>
</x:worksheet>
</file>